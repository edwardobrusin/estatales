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bancomextgobmx.sharepoint.com/sites/SntesisEconmica/Documentos compartidos/General/Fichas Técnicas Estatales/"/>
    </mc:Choice>
  </mc:AlternateContent>
  <bookViews>
    <workbookView xWindow="0" yWindow="0" windowWidth="28800" windowHeight="11580"/>
  </bookViews>
  <sheets>
    <sheet name="Ene-Jun" sheetId="1" r:id="rId1"/>
    <sheet name="Jul-Dic" sheetId="2" r:id="rId2"/>
    <sheet name="Detalle" sheetId="3" r:id="rId3"/>
    <sheet name="Pendientes" sheetId="4" r:id="rId4"/>
  </sheets>
  <definedNames>
    <definedName name="_xlnm.Print_Area" localSheetId="0">'Ene-Jun'!$A$1:$G$46</definedName>
    <definedName name="_xlnm.Print_Area" localSheetId="1">'Jul-Dic'!$A$1:$G$46</definedName>
  </definedNames>
  <calcPr calcId="162913"/>
</workbook>
</file>

<file path=xl/calcChain.xml><?xml version="1.0" encoding="utf-8"?>
<calcChain xmlns="http://schemas.openxmlformats.org/spreadsheetml/2006/main">
  <c r="F23" i="1" l="1"/>
  <c r="G11" i="2"/>
  <c r="G10" i="2"/>
  <c r="F28" i="2"/>
  <c r="D11" i="2"/>
  <c r="C28" i="2"/>
  <c r="G11" i="1"/>
  <c r="F29" i="1"/>
  <c r="G12" i="2"/>
  <c r="G4" i="2"/>
  <c r="F29" i="2"/>
  <c r="F23" i="2"/>
  <c r="D12" i="2"/>
  <c r="D4" i="2"/>
  <c r="C29" i="2"/>
  <c r="C23" i="2"/>
  <c r="G12" i="1"/>
  <c r="G4" i="1"/>
  <c r="F30" i="1"/>
  <c r="F24" i="1"/>
  <c r="D22" i="1"/>
  <c r="F12" i="2"/>
  <c r="E11" i="2"/>
  <c r="C13" i="2"/>
  <c r="B11" i="2"/>
  <c r="F11" i="1"/>
  <c r="E11" i="1"/>
  <c r="F18" i="2" l="1"/>
  <c r="G26" i="2"/>
  <c r="D33" i="2"/>
  <c r="B9" i="2"/>
  <c r="G33" i="1"/>
  <c r="D34" i="1"/>
  <c r="C27" i="1"/>
  <c r="G18" i="1"/>
</calcChain>
</file>

<file path=xl/sharedStrings.xml><?xml version="1.0" encoding="utf-8"?>
<sst xmlns="http://schemas.openxmlformats.org/spreadsheetml/2006/main" count="231" uniqueCount="91">
  <si>
    <t>DÍA</t>
  </si>
  <si>
    <t>ENERO</t>
  </si>
  <si>
    <t>FEBRERO</t>
  </si>
  <si>
    <t>MARZO</t>
  </si>
  <si>
    <t>ABRIL</t>
  </si>
  <si>
    <t>MAYO</t>
  </si>
  <si>
    <t>JUNIO</t>
  </si>
  <si>
    <t>IED (4T2025)</t>
  </si>
  <si>
    <t>DENUE (2025)</t>
  </si>
  <si>
    <t>ENOE (4T2025)</t>
  </si>
  <si>
    <t>ENOE (1T2026)</t>
  </si>
  <si>
    <t>EEF (1T2026)</t>
  </si>
  <si>
    <t>EEF (4T2025)</t>
  </si>
  <si>
    <t>PIB</t>
  </si>
  <si>
    <t>Producto Interno Bruto por Entidad Federativa</t>
  </si>
  <si>
    <t>EEF</t>
  </si>
  <si>
    <t>Exportaciones por Entidad Federativa</t>
  </si>
  <si>
    <t>ENOE</t>
  </si>
  <si>
    <t>Encuesta Nacional de Ocupación y Empleo</t>
  </si>
  <si>
    <t>IED</t>
  </si>
  <si>
    <t>DENUE</t>
  </si>
  <si>
    <t>Directorio Estadístico Nacional de Unidades Económicas</t>
  </si>
  <si>
    <t>Recepción de Turistas</t>
  </si>
  <si>
    <t>ANUIES</t>
  </si>
  <si>
    <t>Indicadores de Competitividad</t>
  </si>
  <si>
    <t>JULIO</t>
  </si>
  <si>
    <t>AGOSTO</t>
  </si>
  <si>
    <t>SEPTIEMBRE</t>
  </si>
  <si>
    <t>OCTUBRE</t>
  </si>
  <si>
    <t>NOVIEMBRE</t>
  </si>
  <si>
    <t>DICIEMBRE</t>
  </si>
  <si>
    <t>EEF (3T2026)</t>
  </si>
  <si>
    <t>ENOE (2T2026)</t>
  </si>
  <si>
    <t>EEF (2T2026)</t>
  </si>
  <si>
    <t>Variable</t>
  </si>
  <si>
    <t>Etiqueta</t>
  </si>
  <si>
    <t>Periodicidad</t>
  </si>
  <si>
    <t>Fecha</t>
  </si>
  <si>
    <t>Periodo actualizado</t>
  </si>
  <si>
    <t>Fuente</t>
  </si>
  <si>
    <t>Anual</t>
  </si>
  <si>
    <t>2024</t>
  </si>
  <si>
    <t>INEGI</t>
  </si>
  <si>
    <t>2025</t>
  </si>
  <si>
    <t>Trimestral</t>
  </si>
  <si>
    <t>4T2025</t>
  </si>
  <si>
    <t>1T2026</t>
  </si>
  <si>
    <t>2T2026</t>
  </si>
  <si>
    <t>3T2026</t>
  </si>
  <si>
    <t>ENOE (3T2026)</t>
  </si>
  <si>
    <t>IED (1T2026)</t>
  </si>
  <si>
    <t>IED (2T2026)</t>
  </si>
  <si>
    <t>IED (3T2026)</t>
  </si>
  <si>
    <t>ANUIES (2025-2026)</t>
  </si>
  <si>
    <t>2025-2026</t>
  </si>
  <si>
    <t>-</t>
  </si>
  <si>
    <t>Sin actualización programada</t>
  </si>
  <si>
    <t>2026</t>
  </si>
  <si>
    <t>Censos Poblacionales (2020)</t>
  </si>
  <si>
    <t>Asociación Nacional de Universidades e Instituciones de Educación Superior</t>
  </si>
  <si>
    <t>IMCO</t>
  </si>
  <si>
    <t>IMCO (2026)</t>
  </si>
  <si>
    <t>DATATUR</t>
  </si>
  <si>
    <t>SE</t>
  </si>
  <si>
    <t>CONAPO</t>
  </si>
  <si>
    <t>Compendio Estadístico del Turismo en México</t>
  </si>
  <si>
    <t>CET</t>
  </si>
  <si>
    <t>PIBE</t>
  </si>
  <si>
    <t>Encuesta Nacional de Ocupación y Empleo Trimestral</t>
  </si>
  <si>
    <t>Inversión Extranjera Directa hacia México por Entidad Federativa</t>
  </si>
  <si>
    <t>PIBE (2024)</t>
  </si>
  <si>
    <t>PIBE (2025)</t>
  </si>
  <si>
    <t>Inversión Extranjera Directa hacia México por Entidad</t>
  </si>
  <si>
    <t>CET (2025)</t>
  </si>
  <si>
    <t>Educación Superior</t>
  </si>
  <si>
    <t>PL (Censos Económicos)</t>
  </si>
  <si>
    <t>Productividad Laboral:
Producción Bruta/Personal Ocupado</t>
  </si>
  <si>
    <t>CP</t>
  </si>
  <si>
    <t>Cifras Revisadas</t>
  </si>
  <si>
    <t>Cifras Definitivas</t>
  </si>
  <si>
    <t>Cifras Preliminares</t>
  </si>
  <si>
    <t>Tipo</t>
  </si>
  <si>
    <t>CALENDARIO ACTUALIZACIÓN FICHAS 2026 (ENERO-JUNIO)
DIRECCIÓN DE ESTUDIOS ECONÓMICOS</t>
  </si>
  <si>
    <t>CALENDARIO ACTUALIZACIÓN FICHAS (JULIO-DICIEMBRE)
DIRECCIÓN DE ESTUDIOS ECONÓMICOS</t>
  </si>
  <si>
    <t>IMSS (mensual 2026)</t>
  </si>
  <si>
    <t>Mensual</t>
  </si>
  <si>
    <t>antes del 9 de cada mes</t>
  </si>
  <si>
    <t>IMSS</t>
  </si>
  <si>
    <t>Puestos de trabajo y salario por entidad</t>
  </si>
  <si>
    <t>Puestos de Trabajo y Salarios por Entidad</t>
  </si>
  <si>
    <t>Sin actualización programada este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</si>
</sst>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548235"/>
      <name val="Calibri"/>
    </font>
    <font>
      <sz val="9"/>
      <name val="Calibri"/>
    </font>
    <font>
      <b/>
      <sz val="12"/>
      <color rgb="FF548235"/>
      <name val="Calibri"/>
      <family val="2"/>
    </font>
    <font>
      <sz val="12"/>
      <color theme="1"/>
      <name val="Calibri"/>
      <family val="2"/>
      <scheme val="minor"/>
    </font>
    <font>
      <sz val="9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horizontal="center"/>
    </xf>
    <xf numFmtId="22" fontId="0" fillId="0" borderId="1" xfId="0" applyNumberFormat="1" applyBorder="1" applyAlignment="1">
      <alignment vertical="top" wrapText="1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0" fillId="0" borderId="0" xfId="0" applyBorder="1" applyAlignment="1">
      <alignment vertical="top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0" borderId="1" xfId="0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0" xfId="0" applyFill="1"/>
    <xf numFmtId="0" fontId="0" fillId="0" borderId="1" xfId="0" applyFill="1" applyBorder="1" applyAlignment="1">
      <alignment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4CCCC"/>
      <color rgb="FFD0E0E3"/>
      <color rgb="FFD9EAD3"/>
      <color rgb="FFFFF2CC"/>
      <color rgb="FFEADCF8"/>
      <color rgb="FFE2F0D9"/>
      <color rgb="FFDDEBF7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733425</xdr:colOff>
      <xdr:row>0</xdr:row>
      <xdr:rowOff>0</xdr:rowOff>
    </xdr:from>
    <xdr:to>
      <xdr:col>6</xdr:col>
      <xdr:colOff>1396027</xdr:colOff>
      <xdr:row>0</xdr:row>
      <xdr:rowOff>345033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4275" y="0"/>
          <a:ext cx="2262802" cy="345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744072</xdr:colOff>
      <xdr:row>0</xdr:row>
      <xdr:rowOff>7844</xdr:rowOff>
    </xdr:from>
    <xdr:to>
      <xdr:col>6</xdr:col>
      <xdr:colOff>1404432</xdr:colOff>
      <xdr:row>1</xdr:row>
      <xdr:rowOff>5495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7248" y="7844"/>
          <a:ext cx="2262802" cy="345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24" sqref="G24"/>
    </sheetView>
  </sheetViews>
  <sheetFormatPr baseColWidth="10" defaultColWidth="9.140625" defaultRowHeight="15" x14ac:dyDescent="0.25"/>
  <cols>
    <col min="1" max="1" width="6" customWidth="1"/>
    <col min="2" max="7" width="24" customWidth="1"/>
  </cols>
  <sheetData>
    <row r="1" spans="1:7" ht="27.95" customHeight="1" x14ac:dyDescent="0.25">
      <c r="B1" s="10" t="s">
        <v>82</v>
      </c>
      <c r="C1" s="11"/>
      <c r="D1" s="11"/>
      <c r="E1" s="11"/>
      <c r="F1" s="11"/>
      <c r="G1" s="11"/>
    </row>
    <row r="3" spans="1:7" ht="21.95" customHeight="1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33.950000000000003" customHeight="1" x14ac:dyDescent="0.25">
      <c r="A4" s="3">
        <v>1</v>
      </c>
      <c r="B4" s="18"/>
      <c r="C4" s="18"/>
      <c r="D4" s="18"/>
      <c r="E4" s="18"/>
      <c r="F4" s="18"/>
      <c r="G4" s="14" t="str">
        <f>CONCATENATE(Detalle!$A$13,"."," ",Detalle!$F$13,"."," ",Detalle!$C$13,"."," ",Detalle!$G$13,".")</f>
        <v>Inversión Extranjera Directa hacia México por Entidad. 1T2026. Cifras Revisadas. SE.</v>
      </c>
    </row>
    <row r="5" spans="1:7" ht="33.950000000000003" customHeight="1" x14ac:dyDescent="0.25">
      <c r="A5" s="3">
        <v>2</v>
      </c>
      <c r="B5" s="18"/>
      <c r="C5" s="18"/>
      <c r="D5" s="18"/>
      <c r="E5" s="18"/>
      <c r="F5" s="18"/>
      <c r="G5" s="15"/>
    </row>
    <row r="6" spans="1:7" ht="33.950000000000003" customHeight="1" x14ac:dyDescent="0.25">
      <c r="A6" s="3">
        <v>3</v>
      </c>
      <c r="B6" s="18"/>
      <c r="C6" s="18"/>
      <c r="D6" s="18"/>
      <c r="E6" s="18"/>
      <c r="F6" s="18"/>
      <c r="G6" s="15"/>
    </row>
    <row r="7" spans="1:7" ht="33.950000000000003" customHeight="1" x14ac:dyDescent="0.25">
      <c r="A7" s="3">
        <v>4</v>
      </c>
      <c r="B7" s="18"/>
      <c r="C7" s="18"/>
      <c r="D7" s="18"/>
      <c r="E7" s="18"/>
      <c r="F7" s="18"/>
      <c r="G7" s="15"/>
    </row>
    <row r="8" spans="1:7" ht="33.950000000000003" customHeight="1" x14ac:dyDescent="0.25">
      <c r="A8" s="3">
        <v>5</v>
      </c>
      <c r="B8" s="18"/>
      <c r="C8" s="18"/>
      <c r="D8" s="18"/>
      <c r="E8" s="18"/>
      <c r="F8" s="18"/>
      <c r="G8" s="15"/>
    </row>
    <row r="9" spans="1:7" ht="33.950000000000003" customHeight="1" x14ac:dyDescent="0.25">
      <c r="A9" s="3">
        <v>6</v>
      </c>
      <c r="B9" s="18"/>
      <c r="C9" s="18"/>
      <c r="D9" s="18"/>
      <c r="E9" s="18"/>
      <c r="F9" s="18"/>
      <c r="G9" s="15"/>
    </row>
    <row r="10" spans="1:7" ht="33.950000000000003" customHeight="1" x14ac:dyDescent="0.25">
      <c r="A10" s="3">
        <v>7</v>
      </c>
      <c r="B10" s="18"/>
      <c r="C10" s="18"/>
      <c r="D10" s="18"/>
      <c r="E10" s="18"/>
      <c r="F10" s="18"/>
      <c r="G10" s="16"/>
    </row>
    <row r="11" spans="1:7" ht="72" x14ac:dyDescent="0.25">
      <c r="A11" s="3">
        <v>8</v>
      </c>
      <c r="B11" s="18"/>
      <c r="C11" s="18"/>
      <c r="D11" s="18"/>
      <c r="E11" s="19" t="str">
        <f>CONCATENATE(Detalle!$A$21,"."," ",Detalle!$F$21,"."," ","Marzo","."," ",Detalle!$G$21,".")</f>
        <v>Puestos de trabajo y salario por entidad. 2026. Marzo. IMSS.</v>
      </c>
      <c r="F11" s="19" t="str">
        <f>CONCATENATE(Detalle!$A$21,"."," ",Detalle!$F$21,"."," ","Abril","."," ",Detalle!$G$21,".")</f>
        <v>Puestos de trabajo y salario por entidad. 2026. Abril. IMSS.</v>
      </c>
      <c r="G11" s="19" t="str">
        <f>CONCATENATE("*",Detalle!$A$21,"."," ",Detalle!$F$21,"."," ","Mayo","."," ",Detalle!$G$21,".",CHAR(10),"*",Detalle!$A$13,"."," ",Detalle!$F$13,"."," ",Detalle!$C$13,"."," ",Detalle!$G$13,".")</f>
        <v>*Puestos de trabajo y salario por entidad. 2026. Mayo. IMSS.
*Inversión Extranjera Directa hacia México por Entidad. 1T2026. Cifras Revisadas. SE.</v>
      </c>
    </row>
    <row r="12" spans="1:7" ht="33.950000000000003" customHeight="1" x14ac:dyDescent="0.25">
      <c r="A12" s="3">
        <v>9</v>
      </c>
      <c r="B12" s="18"/>
      <c r="C12" s="18"/>
      <c r="D12" s="18"/>
      <c r="E12" s="18"/>
      <c r="F12" s="18"/>
      <c r="G12" s="14" t="str">
        <f>CONCATENATE(Detalle!$A$13,"."," ",Detalle!$F$13,"."," ",Detalle!$C$13,"."," ",Detalle!$G$13,".")</f>
        <v>Inversión Extranjera Directa hacia México por Entidad. 1T2026. Cifras Revisadas. SE.</v>
      </c>
    </row>
    <row r="13" spans="1:7" ht="33.950000000000003" customHeight="1" x14ac:dyDescent="0.25">
      <c r="A13" s="3">
        <v>10</v>
      </c>
      <c r="B13" s="18"/>
      <c r="C13" s="18"/>
      <c r="D13" s="18"/>
      <c r="E13" s="18"/>
      <c r="F13" s="18"/>
      <c r="G13" s="16"/>
    </row>
    <row r="14" spans="1:7" ht="33.950000000000003" customHeight="1" x14ac:dyDescent="0.25">
      <c r="A14" s="3">
        <v>11</v>
      </c>
      <c r="B14" s="18"/>
      <c r="C14" s="18"/>
      <c r="D14" s="18"/>
      <c r="E14" s="18"/>
      <c r="F14" s="18"/>
      <c r="G14" s="18"/>
    </row>
    <row r="15" spans="1:7" ht="33.950000000000003" customHeight="1" x14ac:dyDescent="0.25">
      <c r="A15" s="3">
        <v>12</v>
      </c>
      <c r="B15" s="18"/>
      <c r="C15" s="18"/>
      <c r="D15" s="18"/>
      <c r="E15" s="18"/>
      <c r="F15" s="18"/>
      <c r="G15" s="18"/>
    </row>
    <row r="16" spans="1:7" ht="33.950000000000003" customHeight="1" x14ac:dyDescent="0.25">
      <c r="A16" s="3">
        <v>13</v>
      </c>
      <c r="B16" s="18"/>
      <c r="C16" s="18"/>
      <c r="D16" s="18"/>
      <c r="E16" s="18"/>
      <c r="F16" s="18"/>
      <c r="G16" s="18"/>
    </row>
    <row r="17" spans="1:7" ht="33.950000000000003" customHeight="1" x14ac:dyDescent="0.25">
      <c r="A17" s="3">
        <v>14</v>
      </c>
      <c r="B17" s="18"/>
      <c r="C17" s="18"/>
      <c r="D17" s="18"/>
      <c r="E17" s="18"/>
      <c r="F17" s="18"/>
      <c r="G17" s="18"/>
    </row>
    <row r="18" spans="1:7" ht="42.75" customHeight="1" x14ac:dyDescent="0.25">
      <c r="A18" s="3">
        <v>15</v>
      </c>
      <c r="B18" s="18"/>
      <c r="C18" s="18"/>
      <c r="D18" s="18"/>
      <c r="E18" s="18"/>
      <c r="F18" s="18"/>
      <c r="G18" s="20" t="str">
        <f>CONCATENATE(Detalle!A20,"."," ",Detalle!F20,"."," ",Detalle!D20,"."," ",Detalle!G20,".")</f>
        <v>Indicadores de Competitividad. 2026. Anual. IMCO.</v>
      </c>
    </row>
    <row r="19" spans="1:7" ht="33.950000000000003" customHeight="1" x14ac:dyDescent="0.25">
      <c r="A19" s="3">
        <v>16</v>
      </c>
      <c r="B19" s="18"/>
      <c r="C19" s="18"/>
      <c r="D19" s="18"/>
      <c r="E19" s="18"/>
      <c r="F19" s="18"/>
      <c r="G19" s="18"/>
    </row>
    <row r="20" spans="1:7" ht="33.950000000000003" customHeight="1" x14ac:dyDescent="0.25">
      <c r="A20" s="3">
        <v>17</v>
      </c>
      <c r="B20" s="18"/>
      <c r="C20" s="18"/>
      <c r="D20" s="18"/>
      <c r="E20" s="18"/>
      <c r="F20" s="18"/>
      <c r="G20" s="18"/>
    </row>
    <row r="21" spans="1:7" ht="33.950000000000003" customHeight="1" x14ac:dyDescent="0.25">
      <c r="A21" s="3">
        <v>18</v>
      </c>
      <c r="B21" s="18"/>
      <c r="C21" s="18"/>
      <c r="D21" s="18"/>
      <c r="E21" s="18"/>
      <c r="F21" s="18"/>
      <c r="G21" s="18"/>
    </row>
    <row r="22" spans="1:7" ht="36" x14ac:dyDescent="0.25">
      <c r="A22" s="3">
        <v>19</v>
      </c>
      <c r="B22" s="18"/>
      <c r="C22" s="18"/>
      <c r="D22" s="21" t="str">
        <f>CONCATENATE(Detalle!$A$12,"."," ",Detalle!$F$12,"."," ",Detalle!$C$12,"."," ",Detalle!$G$12,".")</f>
        <v>Inversión Extranjera Directa hacia México por Entidad. 4T2025. Cifras Revisadas. SE.</v>
      </c>
      <c r="E22" s="18"/>
      <c r="F22" s="18"/>
      <c r="G22" s="18"/>
    </row>
    <row r="23" spans="1:7" ht="60" x14ac:dyDescent="0.25">
      <c r="A23" s="3">
        <v>20</v>
      </c>
      <c r="B23" s="18"/>
      <c r="C23" s="18"/>
      <c r="D23" s="18"/>
      <c r="E23" s="18"/>
      <c r="F23" s="21" t="str">
        <f>CONCATENATE("*",Detalle!A16,"."," ",Detalle!F16,"."," ",Detalle!C16,"."," ",Detalle!G16,".",CHAR(10),"*",Detalle!$A$13,"."," ",Detalle!$F$13,"."," ",Detalle!$C$13,"."," ",Detalle!$G$13,".")</f>
        <v>*DENUE. 2025. Cifras Definitivas. INEGI.
*Inversión Extranjera Directa hacia México por Entidad. 1T2026. Cifras Revisadas. SE.</v>
      </c>
      <c r="G23" s="18"/>
    </row>
    <row r="24" spans="1:7" ht="33.950000000000003" customHeight="1" x14ac:dyDescent="0.25">
      <c r="A24" s="3">
        <v>21</v>
      </c>
      <c r="B24" s="18"/>
      <c r="C24" s="18"/>
      <c r="D24" s="18"/>
      <c r="E24" s="18"/>
      <c r="F24" s="14" t="str">
        <f>CONCATENATE(Detalle!$A$13,"."," ",Detalle!$F$13,"."," ",Detalle!$C$13,"."," ",Detalle!$G$13,".")</f>
        <v>Inversión Extranjera Directa hacia México por Entidad. 1T2026. Cifras Revisadas. SE.</v>
      </c>
      <c r="G24" s="18"/>
    </row>
    <row r="25" spans="1:7" ht="33.950000000000003" customHeight="1" x14ac:dyDescent="0.25">
      <c r="A25" s="3">
        <v>22</v>
      </c>
      <c r="B25" s="18"/>
      <c r="C25" s="18"/>
      <c r="D25" s="18"/>
      <c r="E25" s="18"/>
      <c r="F25" s="15"/>
      <c r="G25" s="18"/>
    </row>
    <row r="26" spans="1:7" ht="33.950000000000003" customHeight="1" x14ac:dyDescent="0.25">
      <c r="A26" s="3">
        <v>23</v>
      </c>
      <c r="B26" s="18"/>
      <c r="C26" s="18"/>
      <c r="D26" s="18"/>
      <c r="E26" s="18"/>
      <c r="F26" s="15"/>
      <c r="G26" s="18"/>
    </row>
    <row r="27" spans="1:7" ht="48.75" customHeight="1" x14ac:dyDescent="0.25">
      <c r="A27" s="3">
        <v>24</v>
      </c>
      <c r="B27" s="18"/>
      <c r="C27" s="21" t="str">
        <f>CONCATENATE(Detalle!A8,"."," ",Detalle!F8,"."," ",Detalle!C8,"."," ",Detalle!G8,".")</f>
        <v>Encuesta Nacional de Ocupación y Empleo. 4T2025. Cifras Definitivas. INEGI.</v>
      </c>
      <c r="D27" s="18"/>
      <c r="E27" s="18"/>
      <c r="F27" s="15"/>
      <c r="G27" s="18"/>
    </row>
    <row r="28" spans="1:7" ht="33.950000000000003" customHeight="1" x14ac:dyDescent="0.25">
      <c r="A28" s="3">
        <v>25</v>
      </c>
      <c r="B28" s="18"/>
      <c r="C28" s="18"/>
      <c r="D28" s="18"/>
      <c r="E28" s="18"/>
      <c r="F28" s="16"/>
      <c r="G28" s="18"/>
    </row>
    <row r="29" spans="1:7" ht="72" x14ac:dyDescent="0.25">
      <c r="A29" s="3">
        <v>26</v>
      </c>
      <c r="B29" s="18"/>
      <c r="C29" s="18"/>
      <c r="D29" s="18"/>
      <c r="E29" s="18"/>
      <c r="F29" s="21" t="str">
        <f>CONCATENATE("*",Detalle!A9,"."," ",Detalle!F9,"."," ",Detalle!C9,"."," ",Detalle!G9,".",CHAR(10),"*",Detalle!$A$13,"."," ",Detalle!$F$13,"."," ",Detalle!$C$13,"."," ",Detalle!$G$13,".")</f>
        <v>*Encuesta Nacional de Ocupación y Empleo. 1T2026. Cifras Definitivas. INEGI.
*Inversión Extranjera Directa hacia México por Entidad. 1T2026. Cifras Revisadas. SE.</v>
      </c>
      <c r="G29" s="18"/>
    </row>
    <row r="30" spans="1:7" ht="33.950000000000003" customHeight="1" x14ac:dyDescent="0.25">
      <c r="A30" s="3">
        <v>27</v>
      </c>
      <c r="B30" s="18"/>
      <c r="C30" s="18"/>
      <c r="D30" s="18"/>
      <c r="E30" s="18"/>
      <c r="F30" s="14" t="str">
        <f>CONCATENATE(Detalle!$A$13,"."," ",Detalle!$F$13,"."," ",Detalle!$C$13,"."," ",Detalle!$G$13,".")</f>
        <v>Inversión Extranjera Directa hacia México por Entidad. 1T2026. Cifras Revisadas. SE.</v>
      </c>
      <c r="G30" s="18"/>
    </row>
    <row r="31" spans="1:7" ht="33.950000000000003" customHeight="1" x14ac:dyDescent="0.25">
      <c r="A31" s="3">
        <v>28</v>
      </c>
      <c r="B31" s="18"/>
      <c r="C31" s="18"/>
      <c r="D31" s="18"/>
      <c r="E31" s="18"/>
      <c r="F31" s="15"/>
      <c r="G31" s="18"/>
    </row>
    <row r="32" spans="1:7" ht="33.950000000000003" customHeight="1" x14ac:dyDescent="0.25">
      <c r="A32" s="3">
        <v>29</v>
      </c>
      <c r="B32" s="18"/>
      <c r="C32" s="18"/>
      <c r="D32" s="18"/>
      <c r="E32" s="18"/>
      <c r="F32" s="15"/>
      <c r="G32" s="18"/>
    </row>
    <row r="33" spans="1:7" ht="36" x14ac:dyDescent="0.25">
      <c r="A33" s="3">
        <v>30</v>
      </c>
      <c r="B33" s="18"/>
      <c r="C33" s="18"/>
      <c r="D33" s="18"/>
      <c r="E33" s="18"/>
      <c r="F33" s="15"/>
      <c r="G33" s="21" t="str">
        <f>CONCATENATE(Detalle!A5,"."," ",Detalle!F5,"."," ",Detalle!C5,"."," ",Detalle!G5,".")</f>
        <v>Exportaciones por Entidad Federativa. 1T2026. Cifras Preliminares. INEGI.</v>
      </c>
    </row>
    <row r="34" spans="1:7" ht="36" x14ac:dyDescent="0.25">
      <c r="A34" s="3">
        <v>31</v>
      </c>
      <c r="B34" s="18"/>
      <c r="C34" s="18"/>
      <c r="D34" s="21" t="str">
        <f>CONCATENATE(Detalle!A4,"."," ",Detalle!F4,"."," ",Detalle!C4,"."," ",Detalle!G4,".")</f>
        <v>Exportaciones por Entidad Federativa. 4T2025. Cifras Preliminares. INEGI.</v>
      </c>
      <c r="E34" s="18"/>
      <c r="F34" s="16"/>
      <c r="G34" s="18"/>
    </row>
    <row r="37" spans="1:7" x14ac:dyDescent="0.25">
      <c r="A37" s="9" t="s">
        <v>35</v>
      </c>
    </row>
    <row r="38" spans="1:7" x14ac:dyDescent="0.25">
      <c r="A38" s="22" t="s">
        <v>67</v>
      </c>
      <c r="B38" t="s">
        <v>14</v>
      </c>
    </row>
    <row r="39" spans="1:7" x14ac:dyDescent="0.25">
      <c r="A39" s="22" t="s">
        <v>15</v>
      </c>
      <c r="B39" t="s">
        <v>16</v>
      </c>
    </row>
    <row r="40" spans="1:7" x14ac:dyDescent="0.25">
      <c r="A40" s="22" t="s">
        <v>17</v>
      </c>
      <c r="B40" t="s">
        <v>68</v>
      </c>
    </row>
    <row r="41" spans="1:7" x14ac:dyDescent="0.25">
      <c r="A41" s="22" t="s">
        <v>19</v>
      </c>
      <c r="B41" t="s">
        <v>69</v>
      </c>
    </row>
    <row r="42" spans="1:7" x14ac:dyDescent="0.25">
      <c r="A42" s="22" t="s">
        <v>20</v>
      </c>
      <c r="B42" t="s">
        <v>21</v>
      </c>
    </row>
    <row r="43" spans="1:7" x14ac:dyDescent="0.25">
      <c r="A43" s="22" t="s">
        <v>66</v>
      </c>
      <c r="B43" t="s">
        <v>65</v>
      </c>
    </row>
    <row r="44" spans="1:7" x14ac:dyDescent="0.25">
      <c r="A44" s="22" t="s">
        <v>23</v>
      </c>
      <c r="B44" t="s">
        <v>59</v>
      </c>
    </row>
    <row r="45" spans="1:7" x14ac:dyDescent="0.25">
      <c r="A45" s="22" t="s">
        <v>60</v>
      </c>
      <c r="B45" t="s">
        <v>24</v>
      </c>
    </row>
    <row r="46" spans="1:7" x14ac:dyDescent="0.25">
      <c r="A46" s="23" t="s">
        <v>87</v>
      </c>
      <c r="B46" t="s">
        <v>89</v>
      </c>
    </row>
  </sheetData>
  <mergeCells count="5">
    <mergeCell ref="B1:G1"/>
    <mergeCell ref="F24:F28"/>
    <mergeCell ref="F30:F34"/>
    <mergeCell ref="G4:G10"/>
    <mergeCell ref="G12:G13"/>
  </mergeCells>
  <printOptions horizontalCentered="1"/>
  <pageMargins left="0.25" right="0.25" top="0.4" bottom="0.4" header="0.2" footer="0.2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3" sqref="F23:F27"/>
    </sheetView>
  </sheetViews>
  <sheetFormatPr baseColWidth="10" defaultColWidth="9.140625" defaultRowHeight="15" x14ac:dyDescent="0.25"/>
  <cols>
    <col min="1" max="1" width="6" customWidth="1"/>
    <col min="2" max="7" width="24" customWidth="1"/>
  </cols>
  <sheetData>
    <row r="1" spans="1:7" ht="27.95" customHeight="1" x14ac:dyDescent="0.25">
      <c r="B1" s="10" t="s">
        <v>83</v>
      </c>
      <c r="C1" s="12"/>
      <c r="D1" s="12"/>
      <c r="E1" s="12"/>
      <c r="F1" s="12"/>
      <c r="G1" s="12"/>
    </row>
    <row r="3" spans="1:7" ht="21.95" customHeight="1" x14ac:dyDescent="0.25">
      <c r="A3" s="1" t="s">
        <v>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</row>
    <row r="4" spans="1:7" ht="33.950000000000003" customHeight="1" x14ac:dyDescent="0.25">
      <c r="A4" s="3">
        <v>1</v>
      </c>
      <c r="B4" s="18"/>
      <c r="C4" s="18"/>
      <c r="D4" s="14" t="str">
        <f>CONCATENATE(Detalle!$A$14,"."," ",Detalle!$F$14,"."," ",Detalle!$C$14,"."," ",Detalle!$G$14,".")</f>
        <v>Inversión Extranjera Directa hacia México por Entidad. 2T2026. Cifras Revisadas. SE.</v>
      </c>
      <c r="E4" s="18"/>
      <c r="F4" s="18"/>
      <c r="G4" s="14" t="str">
        <f>CONCATENATE(Detalle!$A$15,"."," ",Detalle!$F$15,"."," ",Detalle!$C$15,"."," ",Detalle!$G$15,".")</f>
        <v>Inversión Extranjera Directa hacia México por Entidad. 3T2026. Cifras Revisadas. SE.</v>
      </c>
    </row>
    <row r="5" spans="1:7" ht="33.950000000000003" customHeight="1" x14ac:dyDescent="0.25">
      <c r="A5" s="3">
        <v>2</v>
      </c>
      <c r="B5" s="18"/>
      <c r="C5" s="18"/>
      <c r="D5" s="15"/>
      <c r="E5" s="18"/>
      <c r="F5" s="18"/>
      <c r="G5" s="15"/>
    </row>
    <row r="6" spans="1:7" ht="33.950000000000003" customHeight="1" x14ac:dyDescent="0.25">
      <c r="A6" s="3">
        <v>3</v>
      </c>
      <c r="B6" s="18"/>
      <c r="C6" s="18"/>
      <c r="D6" s="15"/>
      <c r="E6" s="18"/>
      <c r="F6" s="18"/>
      <c r="G6" s="15"/>
    </row>
    <row r="7" spans="1:7" ht="33.950000000000003" customHeight="1" x14ac:dyDescent="0.25">
      <c r="A7" s="3">
        <v>4</v>
      </c>
      <c r="B7" s="18"/>
      <c r="C7" s="18"/>
      <c r="D7" s="15"/>
      <c r="E7" s="18"/>
      <c r="F7" s="18"/>
      <c r="G7" s="15"/>
    </row>
    <row r="8" spans="1:7" ht="33.950000000000003" customHeight="1" x14ac:dyDescent="0.25">
      <c r="A8" s="3">
        <v>5</v>
      </c>
      <c r="B8" s="18"/>
      <c r="C8" s="18"/>
      <c r="D8" s="15"/>
      <c r="E8" s="18"/>
      <c r="F8" s="18"/>
      <c r="G8" s="15"/>
    </row>
    <row r="9" spans="1:7" ht="36" x14ac:dyDescent="0.25">
      <c r="A9" s="3">
        <v>6</v>
      </c>
      <c r="B9" s="21" t="str">
        <f>CONCATENATE(Detalle!A2,"."," ",Detalle!F2,"."," ",Detalle!C2,"."," ",Detalle!G2,".")</f>
        <v>Producto Interno Bruto por Entidad Federativa. 2024. Cifras Revisadas. INEGI.</v>
      </c>
      <c r="C9" s="18"/>
      <c r="D9" s="15"/>
      <c r="E9" s="18"/>
      <c r="F9" s="18"/>
      <c r="G9" s="16"/>
    </row>
    <row r="10" spans="1:7" ht="72" x14ac:dyDescent="0.25">
      <c r="A10" s="3">
        <v>7</v>
      </c>
      <c r="B10" s="18"/>
      <c r="C10" s="18"/>
      <c r="D10" s="16"/>
      <c r="E10" s="18"/>
      <c r="F10" s="18"/>
      <c r="G10" s="21" t="str">
        <f>CONCATENATE("*",Detalle!A3,"."," ",Detalle!F3,"."," ",Detalle!C3,"."," ",Detalle!G3,".",CHAR(10),"*",Detalle!$A$15,"."," ",Detalle!$F$15,"."," ",Detalle!$C$15,"."," ",Detalle!$G$15,".")</f>
        <v>*Producto Interno Bruto por Entidad Federativa. 2025. Cifras Preliminares. INEGI.
*Inversión Extranjera Directa hacia México por Entidad. 3T2026. Cifras Revisadas. SE.</v>
      </c>
    </row>
    <row r="11" spans="1:7" ht="72" x14ac:dyDescent="0.25">
      <c r="A11" s="3">
        <v>8</v>
      </c>
      <c r="B11" s="19" t="str">
        <f>CONCATENATE(Detalle!$A$21,"."," ",Detalle!$F$21,"."," ","Junio","."," ",Detalle!$G$21,".")</f>
        <v>Puestos de trabajo y salario por entidad. 2026. Junio. IMSS.</v>
      </c>
      <c r="C11" s="18"/>
      <c r="D11" s="19" t="str">
        <f>CONCATENATE("*",Detalle!$A$21,"."," ",Detalle!$F$21,"."," ","Agosto","."," ",Detalle!$G$21,".",CHAR(10),"*",Detalle!$A$14,"."," ",Detalle!$F$14,"."," ",Detalle!$C$14,"."," ",Detalle!$G$14,".")</f>
        <v>*Puestos de trabajo y salario por entidad. 2026. Agosto. IMSS.
*Inversión Extranjera Directa hacia México por Entidad. 2T2026. Cifras Revisadas. SE.</v>
      </c>
      <c r="E11" s="19" t="str">
        <f>CONCATENATE(Detalle!$A$21,"."," ",Detalle!$F$21,"."," ","Septiembre","."," ",Detalle!$G$21,".")</f>
        <v>Puestos de trabajo y salario por entidad. 2026. Septiembre. IMSS.</v>
      </c>
      <c r="F11" s="18"/>
      <c r="G11" s="19" t="str">
        <f>CONCATENATE("*",Detalle!$A$21,"."," ",Detalle!$F$21,"."," ","Noviembre","."," ",Detalle!$G$21,".",CHAR(10),"*",Detalle!$A$15,"."," ",Detalle!$F$15,"."," ",Detalle!$C$15,"."," ",Detalle!$G$15,".")</f>
        <v>*Puestos de trabajo y salario por entidad. 2026. Noviembre. IMSS.
*Inversión Extranjera Directa hacia México por Entidad. 3T2026. Cifras Revisadas. SE.</v>
      </c>
    </row>
    <row r="12" spans="1:7" ht="33.950000000000003" customHeight="1" x14ac:dyDescent="0.25">
      <c r="A12" s="3">
        <v>9</v>
      </c>
      <c r="B12" s="18"/>
      <c r="C12" s="18"/>
      <c r="D12" s="14" t="str">
        <f>CONCATENATE(Detalle!$A$14,"."," ",Detalle!$F$14,"."," ",Detalle!$C$14,"."," ",Detalle!$G$14,".")</f>
        <v>Inversión Extranjera Directa hacia México por Entidad. 2T2026. Cifras Revisadas. SE.</v>
      </c>
      <c r="E12" s="18"/>
      <c r="F12" s="19" t="str">
        <f>CONCATENATE(Detalle!$A$21,"."," ",Detalle!$F$21,"."," ","Octubre","."," ",Detalle!$G$21,".")</f>
        <v>Puestos de trabajo y salario por entidad. 2026. Octubre. IMSS.</v>
      </c>
      <c r="G12" s="14" t="str">
        <f>CONCATENATE(Detalle!$A$15,"."," ",Detalle!$F$15,"."," ",Detalle!$C$15,"."," ",Detalle!$G$15,".")</f>
        <v>Inversión Extranjera Directa hacia México por Entidad. 3T2026. Cifras Revisadas. SE.</v>
      </c>
    </row>
    <row r="13" spans="1:7" ht="36" x14ac:dyDescent="0.25">
      <c r="A13" s="3">
        <v>10</v>
      </c>
      <c r="B13" s="18"/>
      <c r="C13" s="19" t="str">
        <f>CONCATENATE(Detalle!$A$21,"."," ",Detalle!$F$21,"."," ","Julio","."," ",Detalle!$G$21,".")</f>
        <v>Puestos de trabajo y salario por entidad. 2026. Julio. IMSS.</v>
      </c>
      <c r="D13" s="16"/>
      <c r="E13" s="18"/>
      <c r="F13" s="18"/>
      <c r="G13" s="16"/>
    </row>
    <row r="14" spans="1:7" ht="33.950000000000003" customHeight="1" x14ac:dyDescent="0.25">
      <c r="A14" s="3">
        <v>11</v>
      </c>
      <c r="B14" s="18"/>
      <c r="C14" s="18"/>
      <c r="D14" s="18"/>
      <c r="E14" s="18"/>
      <c r="F14" s="18"/>
      <c r="G14" s="18"/>
    </row>
    <row r="15" spans="1:7" ht="33.950000000000003" customHeight="1" x14ac:dyDescent="0.25">
      <c r="A15" s="3">
        <v>12</v>
      </c>
      <c r="B15" s="18"/>
      <c r="C15" s="18"/>
      <c r="D15" s="18"/>
      <c r="E15" s="18"/>
      <c r="F15" s="18"/>
      <c r="G15" s="18"/>
    </row>
    <row r="16" spans="1:7" ht="33.950000000000003" customHeight="1" x14ac:dyDescent="0.25">
      <c r="A16" s="3">
        <v>13</v>
      </c>
      <c r="B16" s="18"/>
      <c r="C16" s="18"/>
      <c r="D16" s="18"/>
      <c r="E16" s="18"/>
      <c r="F16" s="18"/>
      <c r="G16" s="18"/>
    </row>
    <row r="17" spans="1:7" ht="33.950000000000003" customHeight="1" x14ac:dyDescent="0.25">
      <c r="A17" s="3">
        <v>14</v>
      </c>
      <c r="B17" s="18"/>
      <c r="C17" s="18"/>
      <c r="D17" s="18"/>
      <c r="E17" s="18"/>
      <c r="F17" s="18"/>
      <c r="G17" s="18"/>
    </row>
    <row r="18" spans="1:7" ht="76.5" customHeight="1" x14ac:dyDescent="0.25">
      <c r="A18" s="3">
        <v>15</v>
      </c>
      <c r="B18" s="18"/>
      <c r="C18" s="18"/>
      <c r="D18" s="18"/>
      <c r="E18" s="18"/>
      <c r="F18" s="21" t="str">
        <f>CONCATENATE("*",Detalle!A18,"."," ",Detalle!F18,"."," ",Detalle!C18,"."," ",Detalle!G18,".", CHAR(10), "*",Detalle!A19,"."," ",Detalle!F19,"."," ",Detalle!C19,"."," ",Detalle!G19,".")</f>
        <v>*Recepción de Turistas. 2025. Cifras Revisadas. DATATUR.
*Educación Superior. 2025-2026. Cifras Revisadas. ANUIES.</v>
      </c>
      <c r="G18" s="18"/>
    </row>
    <row r="19" spans="1:7" ht="33.950000000000003" customHeight="1" x14ac:dyDescent="0.25">
      <c r="A19" s="3">
        <v>16</v>
      </c>
      <c r="B19" s="18"/>
      <c r="C19" s="18"/>
      <c r="D19" s="18"/>
      <c r="E19" s="18"/>
      <c r="F19" s="18"/>
      <c r="G19" s="18"/>
    </row>
    <row r="20" spans="1:7" ht="33.950000000000003" customHeight="1" x14ac:dyDescent="0.25">
      <c r="A20" s="3">
        <v>17</v>
      </c>
      <c r="B20" s="18"/>
      <c r="C20" s="18"/>
      <c r="D20" s="18"/>
      <c r="E20" s="18"/>
      <c r="F20" s="18"/>
      <c r="G20" s="18"/>
    </row>
    <row r="21" spans="1:7" ht="33.950000000000003" customHeight="1" x14ac:dyDescent="0.25">
      <c r="A21" s="3">
        <v>18</v>
      </c>
      <c r="B21" s="18"/>
      <c r="C21" s="18"/>
      <c r="D21" s="18"/>
      <c r="E21" s="18"/>
      <c r="F21" s="18"/>
      <c r="G21" s="18"/>
    </row>
    <row r="22" spans="1:7" ht="33.950000000000003" customHeight="1" x14ac:dyDescent="0.25">
      <c r="A22" s="3">
        <v>19</v>
      </c>
      <c r="B22" s="18"/>
      <c r="C22" s="18"/>
      <c r="D22" s="18"/>
      <c r="E22" s="18"/>
      <c r="F22" s="18"/>
      <c r="G22" s="18"/>
    </row>
    <row r="23" spans="1:7" ht="33.950000000000003" customHeight="1" x14ac:dyDescent="0.25">
      <c r="A23" s="3">
        <v>20</v>
      </c>
      <c r="B23" s="18"/>
      <c r="C23" s="14" t="str">
        <f>CONCATENATE(Detalle!$A$14,"."," ",Detalle!$F$14,"."," ",Detalle!$C$14,"."," ",Detalle!$G$14,".")</f>
        <v>Inversión Extranjera Directa hacia México por Entidad. 2T2026. Cifras Revisadas. SE.</v>
      </c>
      <c r="D23" s="18"/>
      <c r="E23" s="18"/>
      <c r="F23" s="14" t="str">
        <f>CONCATENATE(Detalle!$A$15,"."," ",Detalle!$F$15,"."," ",Detalle!$C$15,"."," ",Detalle!$G$15,".")</f>
        <v>Inversión Extranjera Directa hacia México por Entidad. 3T2026. Cifras Revisadas. SE.</v>
      </c>
      <c r="G23" s="18"/>
    </row>
    <row r="24" spans="1:7" ht="33.950000000000003" customHeight="1" x14ac:dyDescent="0.25">
      <c r="A24" s="3">
        <v>21</v>
      </c>
      <c r="B24" s="18"/>
      <c r="C24" s="15"/>
      <c r="D24" s="18"/>
      <c r="E24" s="18"/>
      <c r="F24" s="15"/>
      <c r="G24" s="18"/>
    </row>
    <row r="25" spans="1:7" ht="33.950000000000003" customHeight="1" x14ac:dyDescent="0.25">
      <c r="A25" s="3">
        <v>22</v>
      </c>
      <c r="B25" s="18"/>
      <c r="C25" s="15"/>
      <c r="D25" s="18"/>
      <c r="E25" s="18"/>
      <c r="F25" s="15"/>
      <c r="G25" s="18"/>
    </row>
    <row r="26" spans="1:7" ht="36" x14ac:dyDescent="0.25">
      <c r="A26" s="3">
        <v>23</v>
      </c>
      <c r="B26" s="18"/>
      <c r="C26" s="15"/>
      <c r="D26" s="18"/>
      <c r="E26" s="18"/>
      <c r="F26" s="15"/>
      <c r="G26" s="21" t="str">
        <f>CONCATENATE(Detalle!A7,"."," ",Detalle!F7,"."," ",Detalle!C7,"."," ",Detalle!G7,".")</f>
        <v>Exportaciones por Entidad Federativa. 3T2026. Cifras Preliminares. INEGI.</v>
      </c>
    </row>
    <row r="27" spans="1:7" ht="33.950000000000003" customHeight="1" x14ac:dyDescent="0.25">
      <c r="A27" s="3">
        <v>24</v>
      </c>
      <c r="B27" s="18"/>
      <c r="C27" s="16"/>
      <c r="D27" s="18"/>
      <c r="E27" s="18"/>
      <c r="F27" s="16"/>
      <c r="G27" s="18"/>
    </row>
    <row r="28" spans="1:7" ht="110.25" customHeight="1" x14ac:dyDescent="0.25">
      <c r="A28" s="3">
        <v>25</v>
      </c>
      <c r="B28" s="18"/>
      <c r="C28" s="21" t="str">
        <f>CONCATENATE("*",Detalle!A10,"."," ",Detalle!F10,"."," ",Detalle!C10,"."," ",Detalle!G10,".",CHAR(10),"*",Detalle!$A$14,"."," ",Detalle!$F$14,"."," ",Detalle!$C$14,"."," ",Detalle!$G$14,".")</f>
        <v>*Encuesta Nacional de Ocupación y Empleo. 2T2026. Cifras Definitivas. INEGI.
*Inversión Extranjera Directa hacia México por Entidad. 2T2026. Cifras Revisadas. SE.</v>
      </c>
      <c r="D28" s="18"/>
      <c r="E28" s="18"/>
      <c r="F28" s="21" t="str">
        <f>CONCATENATE("*",Detalle!A11,"."," ",Detalle!F11,"."," ",Detalle!C11,"."," ",Detalle!G11,".", CHAR(10), "*",Detalle!A17,"."," ",Detalle!F17,"."," ",Detalle!C17,"."," ",Detalle!G17,".",CHAR(10),"*",Detalle!$A$15,"."," ",Detalle!$F$15,"."," ",Detalle!$C$15,"."," ",Detalle!$G$15,".")</f>
        <v>*Encuesta Nacional de Ocupación y Empleo. 3T2026. Cifras Definitivas. INEGI.
*DENUE. 2025. Cifras Definitivas. INEGI.
*Inversión Extranjera Directa hacia México por Entidad. 3T2026. Cifras Revisadas. SE.</v>
      </c>
      <c r="G28" s="18"/>
    </row>
    <row r="29" spans="1:7" ht="33.950000000000003" customHeight="1" x14ac:dyDescent="0.25">
      <c r="A29" s="3">
        <v>26</v>
      </c>
      <c r="B29" s="18"/>
      <c r="C29" s="14" t="str">
        <f>CONCATENATE(Detalle!$A$14,"."," ",Detalle!$F$14,"."," ",Detalle!$C$14,"."," ",Detalle!$G$14,".")</f>
        <v>Inversión Extranjera Directa hacia México por Entidad. 2T2026. Cifras Revisadas. SE.</v>
      </c>
      <c r="D29" s="18"/>
      <c r="E29" s="18"/>
      <c r="F29" s="14" t="str">
        <f>CONCATENATE(Detalle!$A$15,"."," ",Detalle!$F$15,"."," ",Detalle!$C$15,"."," ",Detalle!$G$15,".")</f>
        <v>Inversión Extranjera Directa hacia México por Entidad. 3T2026. Cifras Revisadas. SE.</v>
      </c>
      <c r="G29" s="18"/>
    </row>
    <row r="30" spans="1:7" ht="33.950000000000003" customHeight="1" x14ac:dyDescent="0.25">
      <c r="A30" s="3">
        <v>27</v>
      </c>
      <c r="B30" s="18"/>
      <c r="C30" s="15"/>
      <c r="D30" s="18"/>
      <c r="E30" s="18"/>
      <c r="F30" s="15"/>
      <c r="G30" s="18"/>
    </row>
    <row r="31" spans="1:7" ht="33.950000000000003" customHeight="1" x14ac:dyDescent="0.25">
      <c r="A31" s="3">
        <v>28</v>
      </c>
      <c r="B31" s="18"/>
      <c r="C31" s="15"/>
      <c r="D31" s="18"/>
      <c r="E31" s="18"/>
      <c r="F31" s="15"/>
      <c r="G31" s="18"/>
    </row>
    <row r="32" spans="1:7" ht="33.950000000000003" customHeight="1" x14ac:dyDescent="0.25">
      <c r="A32" s="3">
        <v>29</v>
      </c>
      <c r="B32" s="18"/>
      <c r="C32" s="15"/>
      <c r="D32" s="18"/>
      <c r="E32" s="18"/>
      <c r="F32" s="15"/>
      <c r="G32" s="18"/>
    </row>
    <row r="33" spans="1:7" ht="36" x14ac:dyDescent="0.25">
      <c r="A33" s="3">
        <v>30</v>
      </c>
      <c r="B33" s="18"/>
      <c r="C33" s="15"/>
      <c r="D33" s="21" t="str">
        <f>CONCATENATE(Detalle!A6,"."," ",Detalle!F6,"."," ",Detalle!C6,"."," ",Detalle!G6,".")</f>
        <v>Exportaciones por Entidad Federativa. 2T2026. Cifras Preliminares. INEGI.</v>
      </c>
      <c r="E33" s="18"/>
      <c r="F33" s="15"/>
      <c r="G33" s="18"/>
    </row>
    <row r="34" spans="1:7" ht="33.950000000000003" customHeight="1" x14ac:dyDescent="0.25">
      <c r="A34" s="3">
        <v>31</v>
      </c>
      <c r="B34" s="18"/>
      <c r="C34" s="16"/>
      <c r="D34" s="18"/>
      <c r="E34" s="18"/>
      <c r="F34" s="16"/>
      <c r="G34" s="18"/>
    </row>
    <row r="37" spans="1:7" x14ac:dyDescent="0.25">
      <c r="A37" s="9" t="s">
        <v>35</v>
      </c>
    </row>
    <row r="38" spans="1:7" x14ac:dyDescent="0.25">
      <c r="A38" s="22" t="s">
        <v>13</v>
      </c>
      <c r="B38" t="s">
        <v>14</v>
      </c>
    </row>
    <row r="39" spans="1:7" x14ac:dyDescent="0.25">
      <c r="A39" s="22" t="s">
        <v>15</v>
      </c>
      <c r="B39" t="s">
        <v>16</v>
      </c>
    </row>
    <row r="40" spans="1:7" x14ac:dyDescent="0.25">
      <c r="A40" s="22" t="s">
        <v>17</v>
      </c>
      <c r="B40" t="s">
        <v>68</v>
      </c>
    </row>
    <row r="41" spans="1:7" x14ac:dyDescent="0.25">
      <c r="A41" s="22" t="s">
        <v>19</v>
      </c>
      <c r="B41" t="s">
        <v>69</v>
      </c>
    </row>
    <row r="42" spans="1:7" x14ac:dyDescent="0.25">
      <c r="A42" s="22" t="s">
        <v>20</v>
      </c>
      <c r="B42" t="s">
        <v>21</v>
      </c>
    </row>
    <row r="43" spans="1:7" x14ac:dyDescent="0.25">
      <c r="A43" s="22" t="s">
        <v>66</v>
      </c>
      <c r="B43" t="s">
        <v>65</v>
      </c>
    </row>
    <row r="44" spans="1:7" x14ac:dyDescent="0.25">
      <c r="A44" s="22" t="s">
        <v>23</v>
      </c>
      <c r="B44" t="s">
        <v>59</v>
      </c>
    </row>
    <row r="45" spans="1:7" x14ac:dyDescent="0.25">
      <c r="A45" s="22" t="s">
        <v>60</v>
      </c>
      <c r="B45" t="s">
        <v>24</v>
      </c>
    </row>
    <row r="46" spans="1:7" x14ac:dyDescent="0.25">
      <c r="A46" s="23" t="s">
        <v>87</v>
      </c>
      <c r="B46" t="s">
        <v>89</v>
      </c>
    </row>
  </sheetData>
  <mergeCells count="9">
    <mergeCell ref="B1:G1"/>
    <mergeCell ref="C23:C27"/>
    <mergeCell ref="C29:C34"/>
    <mergeCell ref="D4:D10"/>
    <mergeCell ref="D12:D13"/>
    <mergeCell ref="F23:F27"/>
    <mergeCell ref="F29:F34"/>
    <mergeCell ref="G4:G9"/>
    <mergeCell ref="G12:G13"/>
  </mergeCells>
  <printOptions horizontalCentered="1"/>
  <pageMargins left="0.25" right="0.25" top="0.4" bottom="0.4" header="0.2" footer="0.2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 activeCell="A26" sqref="A26"/>
    </sheetView>
  </sheetViews>
  <sheetFormatPr baseColWidth="10" defaultColWidth="9.140625" defaultRowHeight="15" x14ac:dyDescent="0.25"/>
  <cols>
    <col min="1" max="1" width="35.140625" bestFit="1" customWidth="1"/>
    <col min="2" max="7" width="24" customWidth="1"/>
  </cols>
  <sheetData>
    <row r="1" spans="1:7" x14ac:dyDescent="0.25">
      <c r="A1" s="1" t="s">
        <v>34</v>
      </c>
      <c r="B1" s="1" t="s">
        <v>35</v>
      </c>
      <c r="C1" s="7" t="s">
        <v>81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 ht="30" x14ac:dyDescent="0.25">
      <c r="A2" s="24" t="s">
        <v>14</v>
      </c>
      <c r="B2" s="4" t="s">
        <v>70</v>
      </c>
      <c r="C2" s="4" t="s">
        <v>78</v>
      </c>
      <c r="D2" s="4" t="s">
        <v>40</v>
      </c>
      <c r="E2" s="6">
        <v>46209.25</v>
      </c>
      <c r="F2" s="4" t="s">
        <v>41</v>
      </c>
      <c r="G2" s="4" t="s">
        <v>42</v>
      </c>
    </row>
    <row r="3" spans="1:7" ht="30" x14ac:dyDescent="0.25">
      <c r="A3" s="24" t="s">
        <v>14</v>
      </c>
      <c r="B3" s="4" t="s">
        <v>71</v>
      </c>
      <c r="C3" s="4" t="s">
        <v>80</v>
      </c>
      <c r="D3" s="4" t="s">
        <v>40</v>
      </c>
      <c r="E3" s="6">
        <v>46363.25</v>
      </c>
      <c r="F3" s="4" t="s">
        <v>43</v>
      </c>
      <c r="G3" s="4" t="s">
        <v>42</v>
      </c>
    </row>
    <row r="4" spans="1:7" ht="30" x14ac:dyDescent="0.25">
      <c r="A4" s="24" t="s">
        <v>16</v>
      </c>
      <c r="B4" s="4" t="s">
        <v>12</v>
      </c>
      <c r="C4" s="4" t="s">
        <v>80</v>
      </c>
      <c r="D4" s="4" t="s">
        <v>44</v>
      </c>
      <c r="E4" s="6">
        <v>46112.25</v>
      </c>
      <c r="F4" s="4" t="s">
        <v>45</v>
      </c>
      <c r="G4" s="4" t="s">
        <v>42</v>
      </c>
    </row>
    <row r="5" spans="1:7" ht="30" x14ac:dyDescent="0.25">
      <c r="A5" s="24" t="s">
        <v>16</v>
      </c>
      <c r="B5" s="4" t="s">
        <v>11</v>
      </c>
      <c r="C5" s="4" t="s">
        <v>80</v>
      </c>
      <c r="D5" s="4" t="s">
        <v>44</v>
      </c>
      <c r="E5" s="6">
        <v>46203.25</v>
      </c>
      <c r="F5" s="4" t="s">
        <v>46</v>
      </c>
      <c r="G5" s="4" t="s">
        <v>42</v>
      </c>
    </row>
    <row r="6" spans="1:7" ht="30" x14ac:dyDescent="0.25">
      <c r="A6" s="24" t="s">
        <v>16</v>
      </c>
      <c r="B6" s="4" t="s">
        <v>33</v>
      </c>
      <c r="C6" s="4" t="s">
        <v>80</v>
      </c>
      <c r="D6" s="4" t="s">
        <v>44</v>
      </c>
      <c r="E6" s="6">
        <v>46295.25</v>
      </c>
      <c r="F6" s="4" t="s">
        <v>47</v>
      </c>
      <c r="G6" s="4" t="s">
        <v>42</v>
      </c>
    </row>
    <row r="7" spans="1:7" ht="30" x14ac:dyDescent="0.25">
      <c r="A7" s="24" t="s">
        <v>16</v>
      </c>
      <c r="B7" s="4" t="s">
        <v>31</v>
      </c>
      <c r="C7" s="4" t="s">
        <v>80</v>
      </c>
      <c r="D7" s="4" t="s">
        <v>44</v>
      </c>
      <c r="E7" s="6">
        <v>46379.25</v>
      </c>
      <c r="F7" s="4" t="s">
        <v>48</v>
      </c>
      <c r="G7" s="4" t="s">
        <v>42</v>
      </c>
    </row>
    <row r="8" spans="1:7" ht="30" x14ac:dyDescent="0.25">
      <c r="A8" s="24" t="s">
        <v>18</v>
      </c>
      <c r="B8" s="4" t="s">
        <v>9</v>
      </c>
      <c r="C8" s="4" t="s">
        <v>79</v>
      </c>
      <c r="D8" s="4" t="s">
        <v>44</v>
      </c>
      <c r="E8" s="6">
        <v>46077.25</v>
      </c>
      <c r="F8" s="4" t="s">
        <v>45</v>
      </c>
      <c r="G8" s="4" t="s">
        <v>42</v>
      </c>
    </row>
    <row r="9" spans="1:7" ht="30" x14ac:dyDescent="0.25">
      <c r="A9" s="24" t="s">
        <v>18</v>
      </c>
      <c r="B9" s="4" t="s">
        <v>10</v>
      </c>
      <c r="C9" s="4" t="s">
        <v>79</v>
      </c>
      <c r="D9" s="4" t="s">
        <v>44</v>
      </c>
      <c r="E9" s="6">
        <v>46168.25</v>
      </c>
      <c r="F9" s="4" t="s">
        <v>46</v>
      </c>
      <c r="G9" s="4" t="s">
        <v>42</v>
      </c>
    </row>
    <row r="10" spans="1:7" ht="30" x14ac:dyDescent="0.25">
      <c r="A10" s="24" t="s">
        <v>18</v>
      </c>
      <c r="B10" s="4" t="s">
        <v>32</v>
      </c>
      <c r="C10" s="4" t="s">
        <v>79</v>
      </c>
      <c r="D10" s="4" t="s">
        <v>44</v>
      </c>
      <c r="E10" s="6">
        <v>46259.25</v>
      </c>
      <c r="F10" s="4" t="s">
        <v>47</v>
      </c>
      <c r="G10" s="4" t="s">
        <v>42</v>
      </c>
    </row>
    <row r="11" spans="1:7" ht="30" x14ac:dyDescent="0.25">
      <c r="A11" s="24" t="s">
        <v>18</v>
      </c>
      <c r="B11" s="4" t="s">
        <v>49</v>
      </c>
      <c r="C11" s="4" t="s">
        <v>79</v>
      </c>
      <c r="D11" s="4" t="s">
        <v>44</v>
      </c>
      <c r="E11" s="6">
        <v>46351.25</v>
      </c>
      <c r="F11" s="4" t="s">
        <v>48</v>
      </c>
      <c r="G11" s="4" t="s">
        <v>42</v>
      </c>
    </row>
    <row r="12" spans="1:7" ht="30" x14ac:dyDescent="0.25">
      <c r="A12" s="24" t="s">
        <v>72</v>
      </c>
      <c r="B12" s="4" t="s">
        <v>7</v>
      </c>
      <c r="C12" s="4" t="s">
        <v>78</v>
      </c>
      <c r="D12" s="4" t="s">
        <v>44</v>
      </c>
      <c r="E12" s="6">
        <v>46100.25</v>
      </c>
      <c r="F12" s="4" t="s">
        <v>45</v>
      </c>
      <c r="G12" s="4" t="s">
        <v>63</v>
      </c>
    </row>
    <row r="13" spans="1:7" ht="30" x14ac:dyDescent="0.25">
      <c r="A13" s="24" t="s">
        <v>72</v>
      </c>
      <c r="B13" s="4" t="s">
        <v>50</v>
      </c>
      <c r="C13" s="4" t="s">
        <v>78</v>
      </c>
      <c r="D13" s="4" t="s">
        <v>44</v>
      </c>
      <c r="E13" s="4"/>
      <c r="F13" s="4" t="s">
        <v>46</v>
      </c>
      <c r="G13" s="4" t="s">
        <v>63</v>
      </c>
    </row>
    <row r="14" spans="1:7" ht="30" x14ac:dyDescent="0.25">
      <c r="A14" s="24" t="s">
        <v>72</v>
      </c>
      <c r="B14" s="4" t="s">
        <v>51</v>
      </c>
      <c r="C14" s="4" t="s">
        <v>78</v>
      </c>
      <c r="D14" s="4" t="s">
        <v>44</v>
      </c>
      <c r="E14" s="4"/>
      <c r="F14" s="4" t="s">
        <v>47</v>
      </c>
      <c r="G14" s="4" t="s">
        <v>63</v>
      </c>
    </row>
    <row r="15" spans="1:7" ht="30" x14ac:dyDescent="0.25">
      <c r="A15" s="24" t="s">
        <v>72</v>
      </c>
      <c r="B15" s="4" t="s">
        <v>52</v>
      </c>
      <c r="C15" s="4" t="s">
        <v>78</v>
      </c>
      <c r="D15" s="4" t="s">
        <v>44</v>
      </c>
      <c r="E15" s="4"/>
      <c r="F15" s="4" t="s">
        <v>48</v>
      </c>
      <c r="G15" s="4" t="s">
        <v>63</v>
      </c>
    </row>
    <row r="16" spans="1:7" x14ac:dyDescent="0.25">
      <c r="A16" s="24" t="s">
        <v>20</v>
      </c>
      <c r="B16" s="4" t="s">
        <v>8</v>
      </c>
      <c r="C16" s="4" t="s">
        <v>79</v>
      </c>
      <c r="D16" s="4" t="s">
        <v>40</v>
      </c>
      <c r="E16" s="6">
        <v>46162.25</v>
      </c>
      <c r="F16" s="4" t="s">
        <v>43</v>
      </c>
      <c r="G16" s="4" t="s">
        <v>42</v>
      </c>
    </row>
    <row r="17" spans="1:7" x14ac:dyDescent="0.25">
      <c r="A17" s="24" t="s">
        <v>20</v>
      </c>
      <c r="B17" s="4" t="s">
        <v>8</v>
      </c>
      <c r="C17" s="4" t="s">
        <v>79</v>
      </c>
      <c r="D17" s="4" t="s">
        <v>40</v>
      </c>
      <c r="E17" s="6">
        <v>46351.25</v>
      </c>
      <c r="F17" s="4" t="s">
        <v>43</v>
      </c>
      <c r="G17" s="4" t="s">
        <v>42</v>
      </c>
    </row>
    <row r="18" spans="1:7" x14ac:dyDescent="0.25">
      <c r="A18" s="24" t="s">
        <v>22</v>
      </c>
      <c r="B18" s="4" t="s">
        <v>73</v>
      </c>
      <c r="C18" s="4" t="s">
        <v>78</v>
      </c>
      <c r="D18" s="4" t="s">
        <v>40</v>
      </c>
      <c r="E18" s="6">
        <v>46341.375</v>
      </c>
      <c r="F18" s="4" t="s">
        <v>43</v>
      </c>
      <c r="G18" s="4" t="s">
        <v>62</v>
      </c>
    </row>
    <row r="19" spans="1:7" x14ac:dyDescent="0.25">
      <c r="A19" s="24" t="s">
        <v>74</v>
      </c>
      <c r="B19" s="4" t="s">
        <v>53</v>
      </c>
      <c r="C19" s="4" t="s">
        <v>78</v>
      </c>
      <c r="D19" s="4" t="s">
        <v>40</v>
      </c>
      <c r="E19" s="6">
        <v>46341.375</v>
      </c>
      <c r="F19" s="4" t="s">
        <v>54</v>
      </c>
      <c r="G19" s="4" t="s">
        <v>23</v>
      </c>
    </row>
    <row r="20" spans="1:7" x14ac:dyDescent="0.25">
      <c r="A20" s="24" t="s">
        <v>24</v>
      </c>
      <c r="B20" s="4" t="s">
        <v>61</v>
      </c>
      <c r="C20" s="4" t="s">
        <v>55</v>
      </c>
      <c r="D20" s="4" t="s">
        <v>40</v>
      </c>
      <c r="E20" s="6">
        <v>46188.375</v>
      </c>
      <c r="F20" s="4" t="s">
        <v>57</v>
      </c>
      <c r="G20" s="4" t="s">
        <v>60</v>
      </c>
    </row>
    <row r="21" spans="1:7" ht="30" x14ac:dyDescent="0.25">
      <c r="A21" s="24" t="s">
        <v>88</v>
      </c>
      <c r="B21" s="4" t="s">
        <v>84</v>
      </c>
      <c r="C21" s="4" t="s">
        <v>55</v>
      </c>
      <c r="D21" s="4" t="s">
        <v>85</v>
      </c>
      <c r="E21" s="6" t="s">
        <v>86</v>
      </c>
      <c r="F21" s="13">
        <v>2026</v>
      </c>
      <c r="G21" s="4" t="s">
        <v>87</v>
      </c>
    </row>
    <row r="22" spans="1:7" ht="33" customHeight="1" x14ac:dyDescent="0.25">
      <c r="A22" s="17" t="s">
        <v>76</v>
      </c>
      <c r="B22" s="17" t="s">
        <v>75</v>
      </c>
      <c r="C22" s="17" t="s">
        <v>55</v>
      </c>
      <c r="D22" s="17" t="s">
        <v>40</v>
      </c>
      <c r="E22" s="17" t="s">
        <v>56</v>
      </c>
      <c r="F22" s="25"/>
      <c r="G22" s="17" t="s">
        <v>42</v>
      </c>
    </row>
    <row r="23" spans="1:7" ht="30" x14ac:dyDescent="0.25">
      <c r="A23" s="17" t="s">
        <v>58</v>
      </c>
      <c r="B23" s="17" t="s">
        <v>77</v>
      </c>
      <c r="C23" s="17" t="s">
        <v>55</v>
      </c>
      <c r="D23" s="17" t="s">
        <v>40</v>
      </c>
      <c r="E23" s="17" t="s">
        <v>56</v>
      </c>
      <c r="F23" s="25"/>
      <c r="G23" s="17" t="s">
        <v>64</v>
      </c>
    </row>
    <row r="25" spans="1:7" x14ac:dyDescent="0.25">
      <c r="A25" s="25" t="s">
        <v>90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9" sqref="A9"/>
    </sheetView>
  </sheetViews>
  <sheetFormatPr baseColWidth="10" defaultColWidth="9.140625" defaultRowHeight="15" x14ac:dyDescent="0.25"/>
  <cols>
    <col min="1" max="1" width="35" customWidth="1"/>
    <col min="2" max="6" width="28" customWidth="1"/>
  </cols>
  <sheetData>
    <row r="1" spans="1:6" x14ac:dyDescent="0.25">
      <c r="A1" s="5" t="s">
        <v>34</v>
      </c>
      <c r="B1" s="5" t="s">
        <v>35</v>
      </c>
      <c r="C1" s="8" t="s">
        <v>81</v>
      </c>
      <c r="D1" s="5" t="s">
        <v>36</v>
      </c>
      <c r="E1" s="5" t="s">
        <v>38</v>
      </c>
      <c r="F1" s="5" t="s">
        <v>39</v>
      </c>
    </row>
    <row r="2" spans="1:6" ht="30" x14ac:dyDescent="0.25">
      <c r="A2" s="24" t="s">
        <v>72</v>
      </c>
      <c r="B2" s="4" t="s">
        <v>50</v>
      </c>
      <c r="C2" s="4" t="s">
        <v>78</v>
      </c>
      <c r="D2" s="4" t="s">
        <v>44</v>
      </c>
      <c r="E2" s="4" t="s">
        <v>46</v>
      </c>
      <c r="F2" s="4" t="s">
        <v>63</v>
      </c>
    </row>
    <row r="3" spans="1:6" ht="30" x14ac:dyDescent="0.25">
      <c r="A3" s="24" t="s">
        <v>72</v>
      </c>
      <c r="B3" s="4" t="s">
        <v>51</v>
      </c>
      <c r="C3" s="4" t="s">
        <v>78</v>
      </c>
      <c r="D3" s="4" t="s">
        <v>44</v>
      </c>
      <c r="E3" s="4" t="s">
        <v>47</v>
      </c>
      <c r="F3" s="4" t="s">
        <v>63</v>
      </c>
    </row>
    <row r="4" spans="1:6" ht="30" x14ac:dyDescent="0.25">
      <c r="A4" s="24" t="s">
        <v>72</v>
      </c>
      <c r="B4" s="4" t="s">
        <v>52</v>
      </c>
      <c r="C4" s="4" t="s">
        <v>78</v>
      </c>
      <c r="D4" s="4" t="s">
        <v>44</v>
      </c>
      <c r="E4" s="4" t="s">
        <v>48</v>
      </c>
      <c r="F4" s="4" t="s">
        <v>63</v>
      </c>
    </row>
    <row r="5" spans="1:6" ht="30" x14ac:dyDescent="0.25">
      <c r="A5" s="17" t="s">
        <v>76</v>
      </c>
      <c r="B5" s="17" t="s">
        <v>75</v>
      </c>
      <c r="C5" s="17" t="s">
        <v>55</v>
      </c>
      <c r="D5" s="17" t="s">
        <v>40</v>
      </c>
      <c r="E5" s="17" t="s">
        <v>56</v>
      </c>
      <c r="F5" s="17" t="s">
        <v>42</v>
      </c>
    </row>
    <row r="6" spans="1:6" x14ac:dyDescent="0.25">
      <c r="A6" s="17" t="s">
        <v>58</v>
      </c>
      <c r="B6" s="17" t="s">
        <v>77</v>
      </c>
      <c r="C6" s="17" t="s">
        <v>55</v>
      </c>
      <c r="D6" s="17" t="s">
        <v>40</v>
      </c>
      <c r="E6" s="17" t="s">
        <v>56</v>
      </c>
      <c r="F6" s="17" t="s">
        <v>42</v>
      </c>
    </row>
    <row r="8" spans="1:6" x14ac:dyDescent="0.25">
      <c r="A8" s="25" t="s">
        <v>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3ad42a-a847-4375-8ac2-1b925d5e4610">
      <Terms xmlns="http://schemas.microsoft.com/office/infopath/2007/PartnerControls"/>
    </lcf76f155ced4ddcb4097134ff3c332f>
    <TaxCatchAll xmlns="680764f2-dead-424e-9767-2cb9a228693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846F11B89C72D4DB6B90B63C3490928" ma:contentTypeVersion="13" ma:contentTypeDescription="Crear nuevo documento." ma:contentTypeScope="" ma:versionID="a21d512ed4461299e0224cce5d8468bc">
  <xsd:schema xmlns:xsd="http://www.w3.org/2001/XMLSchema" xmlns:xs="http://www.w3.org/2001/XMLSchema" xmlns:p="http://schemas.microsoft.com/office/2006/metadata/properties" xmlns:ns2="143ad42a-a847-4375-8ac2-1b925d5e4610" xmlns:ns3="680764f2-dead-424e-9767-2cb9a2286931" targetNamespace="http://schemas.microsoft.com/office/2006/metadata/properties" ma:root="true" ma:fieldsID="fe42929a43d851dfccdb0e5a5d5ca17c" ns2:_="" ns3:_="">
    <xsd:import namespace="143ad42a-a847-4375-8ac2-1b925d5e4610"/>
    <xsd:import namespace="680764f2-dead-424e-9767-2cb9a22869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ad42a-a847-4375-8ac2-1b925d5e46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c1f861e-66bf-495c-afd5-8500f4fcce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764f2-dead-424e-9767-2cb9a228693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070e8ef-c956-494d-b810-af7059f0ccec}" ma:internalName="TaxCatchAll" ma:showField="CatchAllData" ma:web="680764f2-dead-424e-9767-2cb9a22869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9F6062-633E-4465-8470-34FDE2FBD571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680764f2-dead-424e-9767-2cb9a2286931"/>
    <ds:schemaRef ds:uri="http://schemas.microsoft.com/office/2006/documentManagement/types"/>
    <ds:schemaRef ds:uri="143ad42a-a847-4375-8ac2-1b925d5e4610"/>
  </ds:schemaRefs>
</ds:datastoreItem>
</file>

<file path=customXml/itemProps2.xml><?xml version="1.0" encoding="utf-8"?>
<ds:datastoreItem xmlns:ds="http://schemas.openxmlformats.org/officeDocument/2006/customXml" ds:itemID="{98FC0C84-0CAB-409A-A45F-77A9C20792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5463AA-FBC8-4830-9DCB-5D80B3700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3ad42a-a847-4375-8ac2-1b925d5e4610"/>
    <ds:schemaRef ds:uri="680764f2-dead-424e-9767-2cb9a22869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Ene-Jun</vt:lpstr>
      <vt:lpstr>Jul-Dic</vt:lpstr>
      <vt:lpstr>Detalle</vt:lpstr>
      <vt:lpstr>Pendientes</vt:lpstr>
      <vt:lpstr>'Ene-Jun'!Área_de_impresión</vt:lpstr>
      <vt:lpstr>'Jul-Dic'!Área_de_impresión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Mendoza Candia</cp:lastModifiedBy>
  <dcterms:created xsi:type="dcterms:W3CDTF">2026-03-27T01:24:31Z</dcterms:created>
  <dcterms:modified xsi:type="dcterms:W3CDTF">2026-03-30T17:46:09Z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0x0101008846F11B89C72D4DB6B90B63C3490928</vt:lpwstr>
  </property>
  <property fmtid="{D5CDD505-2E9C-101B-9397-08002B2CF9AE}" pid="3" name="MediaServiceImageTags">
    <vt:lpwstr/>
  </property>
</Properties>
</file>