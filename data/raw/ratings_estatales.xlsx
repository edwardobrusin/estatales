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victo\Desktop\"/>
    </mc:Choice>
  </mc:AlternateContent>
  <xr:revisionPtr revIDLastSave="0" documentId="13_ncr:1_{625B3BFD-CC3A-44AA-9D89-6F940EE34604}" xr6:coauthVersionLast="47" xr6:coauthVersionMax="47" xr10:uidLastSave="{00000000-0000-0000-0000-000000000000}"/>
  <bookViews>
    <workbookView xWindow="-108" yWindow="-108" windowWidth="23256" windowHeight="13176" xr2:uid="{C54EECCA-873F-4197-AE9F-F2EB0688C0DB}"/>
  </bookViews>
  <sheets>
    <sheet name="Ratings" sheetId="1" r:id="rId1"/>
    <sheet name="Calificaciones" sheetId="2" r:id="rId2"/>
  </sheets>
  <definedNames>
    <definedName name="_xlnm._FilterDatabase" localSheetId="0" hidden="1">Ratings!$A$1:$G$54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 a="1"/>
  <c r="G33" i="1" a="1"/>
  <c r="G30" i="1" a="1"/>
  <c r="G24" i="1" a="1"/>
  <c r="G16" i="1" a="1"/>
  <c r="G10" i="1" a="1"/>
  <c r="G11" i="1" a="1"/>
  <c r="G3" i="1" a="1"/>
  <c r="G4" i="1" a="1"/>
  <c r="G5" i="1" a="1"/>
  <c r="G6" i="1" a="1"/>
  <c r="G7" i="1" a="1"/>
  <c r="G8" i="1" a="1"/>
  <c r="G9" i="1" a="1"/>
  <c r="G12" i="1" a="1"/>
  <c r="G13" i="1" a="1"/>
  <c r="G14" i="1" a="1"/>
  <c r="G15" i="1" a="1"/>
  <c r="G17" i="1" a="1"/>
  <c r="G18" i="1" a="1"/>
  <c r="G19" i="1" a="1"/>
  <c r="G20" i="1" a="1"/>
  <c r="G21" i="1" a="1"/>
  <c r="G22" i="1" a="1"/>
  <c r="G23" i="1" a="1"/>
  <c r="G25" i="1" a="1"/>
  <c r="G26" i="1" a="1"/>
  <c r="G27" i="1" a="1"/>
  <c r="G28" i="1" a="1"/>
  <c r="G29" i="1" a="1"/>
  <c r="G31" i="1" a="1"/>
  <c r="G32" i="1" a="1"/>
  <c r="G34" i="1" a="1"/>
  <c r="G35" i="1" a="1"/>
  <c r="G36" i="1" a="1"/>
  <c r="G37" i="1" a="1"/>
  <c r="G38" i="1" a="1"/>
  <c r="G40" i="1" a="1"/>
  <c r="G41" i="1" a="1"/>
  <c r="G42" i="1" a="1"/>
  <c r="G43" i="1" a="1"/>
  <c r="G44" i="1" a="1"/>
  <c r="G45" i="1" a="1"/>
  <c r="G46" i="1" a="1"/>
  <c r="G47" i="1" a="1"/>
  <c r="G48" i="1" a="1"/>
  <c r="G49" i="1" a="1"/>
  <c r="G50" i="1" a="1"/>
  <c r="G51" i="1" a="1"/>
  <c r="G52" i="1" a="1"/>
  <c r="G53" i="1" a="1"/>
  <c r="G54" i="1" a="1"/>
  <c r="G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<sst xmlns="http://schemas.openxmlformats.org/spreadsheetml/2006/main" count="399" uniqueCount="118">
  <si>
    <t>Clave</t>
  </si>
  <si>
    <t>Fecha Publicacion</t>
  </si>
  <si>
    <t>Calificacion</t>
  </si>
  <si>
    <t>Perspectiva</t>
  </si>
  <si>
    <t>Aguascalientes</t>
  </si>
  <si>
    <t>001</t>
  </si>
  <si>
    <t>Estable</t>
  </si>
  <si>
    <t>Baja California</t>
  </si>
  <si>
    <t>002</t>
  </si>
  <si>
    <t>Baja California Sur</t>
  </si>
  <si>
    <t>003</t>
  </si>
  <si>
    <t>Campeche</t>
  </si>
  <si>
    <t>004</t>
  </si>
  <si>
    <t>Coahuila</t>
  </si>
  <si>
    <t>005</t>
  </si>
  <si>
    <t>Positiva</t>
  </si>
  <si>
    <t>Colima</t>
  </si>
  <si>
    <t>006</t>
  </si>
  <si>
    <t>Chiapas</t>
  </si>
  <si>
    <t>007</t>
  </si>
  <si>
    <t>Chihuahua</t>
  </si>
  <si>
    <t>008</t>
  </si>
  <si>
    <t>Ciudad de México</t>
  </si>
  <si>
    <t>009</t>
  </si>
  <si>
    <t>Durango</t>
  </si>
  <si>
    <t>010</t>
  </si>
  <si>
    <t>Hidalgo</t>
  </si>
  <si>
    <t>013</t>
  </si>
  <si>
    <t>Jalisco</t>
  </si>
  <si>
    <t>014</t>
  </si>
  <si>
    <t>Michoacán</t>
  </si>
  <si>
    <t>016</t>
  </si>
  <si>
    <t>Morelos</t>
  </si>
  <si>
    <t>017</t>
  </si>
  <si>
    <t>Nayarit</t>
  </si>
  <si>
    <t>018</t>
  </si>
  <si>
    <t>Nuevo León</t>
  </si>
  <si>
    <t>019</t>
  </si>
  <si>
    <t>Oaxaca</t>
  </si>
  <si>
    <t>020</t>
  </si>
  <si>
    <t>Quintana Roo</t>
  </si>
  <si>
    <t>023</t>
  </si>
  <si>
    <t>San Luis Potosí</t>
  </si>
  <si>
    <t>024</t>
  </si>
  <si>
    <t>Sonora</t>
  </si>
  <si>
    <t>026</t>
  </si>
  <si>
    <t>Tabasco</t>
  </si>
  <si>
    <t>027</t>
  </si>
  <si>
    <t>Tamaulipas</t>
  </si>
  <si>
    <t>028</t>
  </si>
  <si>
    <t>Veracruz</t>
  </si>
  <si>
    <t>030</t>
  </si>
  <si>
    <t>Yucatán</t>
  </si>
  <si>
    <t>031</t>
  </si>
  <si>
    <t>Zacatecas</t>
  </si>
  <si>
    <t>032</t>
  </si>
  <si>
    <t>Entidad</t>
  </si>
  <si>
    <t>Calificadora</t>
  </si>
  <si>
    <t>HR</t>
  </si>
  <si>
    <t>Fitch</t>
  </si>
  <si>
    <t>A-</t>
  </si>
  <si>
    <t>Puebla</t>
  </si>
  <si>
    <t>021</t>
  </si>
  <si>
    <t>AA+</t>
  </si>
  <si>
    <t>Sinaloa</t>
  </si>
  <si>
    <t>025</t>
  </si>
  <si>
    <t>AA</t>
  </si>
  <si>
    <t>Negativa</t>
  </si>
  <si>
    <t>AA-</t>
  </si>
  <si>
    <t>015</t>
  </si>
  <si>
    <t>AAA</t>
  </si>
  <si>
    <t>A</t>
  </si>
  <si>
    <t>Guerrero</t>
  </si>
  <si>
    <t>BBB</t>
  </si>
  <si>
    <t>BBB-</t>
  </si>
  <si>
    <t>BBB+</t>
  </si>
  <si>
    <t>Estado de México</t>
  </si>
  <si>
    <t>011</t>
  </si>
  <si>
    <t>A+</t>
  </si>
  <si>
    <t>Guanajuato</t>
  </si>
  <si>
    <t>012</t>
  </si>
  <si>
    <t>Querétaro</t>
  </si>
  <si>
    <t>022</t>
  </si>
  <si>
    <t>N/A</t>
  </si>
  <si>
    <t>Tlaxcala</t>
  </si>
  <si>
    <t>029</t>
  </si>
  <si>
    <t>Descripción</t>
  </si>
  <si>
    <t>BB</t>
  </si>
  <si>
    <t>B</t>
  </si>
  <si>
    <t>C</t>
  </si>
  <si>
    <t>D</t>
  </si>
  <si>
    <t>BB+</t>
  </si>
  <si>
    <t>BB-</t>
  </si>
  <si>
    <t>B+</t>
  </si>
  <si>
    <t>B-</t>
  </si>
  <si>
    <t>CCC+</t>
  </si>
  <si>
    <t>CCC</t>
  </si>
  <si>
    <t>CCC-</t>
  </si>
  <si>
    <t>CC</t>
  </si>
  <si>
    <t>SD</t>
  </si>
  <si>
    <t>Máxima calidad, mínimo riesgo.</t>
  </si>
  <si>
    <t>Muy alta calidad, muy bajo riesgo.</t>
  </si>
  <si>
    <t>Alta calidad, bajo riesgo.</t>
  </si>
  <si>
    <t>Buena calidad, riesgo moderado.</t>
  </si>
  <si>
    <t>Seguridad aceptable, bajo riesgo.</t>
  </si>
  <si>
    <t>Seguridad moderada, riesgo moderado.</t>
  </si>
  <si>
    <t>Seguridad baja, susceptibles a default.</t>
  </si>
  <si>
    <t>Seguridad insuficiente, alto riesgo.</t>
  </si>
  <si>
    <t>Alta probabilidad de default.</t>
  </si>
  <si>
    <t>En default o altamente probable de estarlo.</t>
  </si>
  <si>
    <t>Especulativo, riesgo sustancial.</t>
  </si>
  <si>
    <t>Altamente especulativo, alto riesgo.</t>
  </si>
  <si>
    <t>Riesgo sustancial, posibilidad real de default.</t>
  </si>
  <si>
    <t>Muy alto riesgo, en default o por ocurrir.</t>
  </si>
  <si>
    <t>Default en comienzo.</t>
  </si>
  <si>
    <t>Emisores ya dejaron de pagar algunas obligaciones.</t>
  </si>
  <si>
    <t>Emisores probablemente no paguen obligaciones, proceso de quiebra.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</si>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</sst>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BDB02-0437-47C5-9FBF-8C740C4A6734}">
  <sheetPr codeName="Hoja1" filterMode="1"/>
  <dimension ref="A1:G54"/>
  <sheetViews>
    <sheetView tabSelected="1" workbookViewId="0">
      <selection activeCell="B53" sqref="B53"/>
    </sheetView>
  </sheetViews>
  <sheetFormatPr baseColWidth="10" defaultRowHeight="14.4" x14ac:dyDescent="0.3"/>
  <cols>
    <col min="1" max="1" width="10.77734375" bestFit="1" customWidth="1"/>
    <col min="2" max="2" width="15.6640625" bestFit="1" customWidth="1"/>
    <col min="3" max="3" width="5.44140625" bestFit="1" customWidth="1"/>
    <col min="4" max="4" width="15.77734375" style="2" bestFit="1" customWidth="1"/>
    <col min="5" max="5" width="10.5546875" bestFit="1" customWidth="1"/>
    <col min="6" max="6" width="10.44140625" bestFit="1" customWidth="1"/>
    <col min="7" max="7" width="32.88671875" bestFit="1" customWidth="1"/>
  </cols>
  <sheetData>
    <row r="1" spans="1:7" x14ac:dyDescent="0.3">
      <c r="A1" t="s">
        <v>57</v>
      </c>
      <c r="B1" t="s">
        <v>56</v>
      </c>
      <c r="C1" t="s">
        <v>0</v>
      </c>
      <c r="D1" s="2" t="s">
        <v>1</v>
      </c>
      <c r="E1" t="s">
        <v>2</v>
      </c>
      <c r="F1" t="s">
        <v>3</v>
      </c>
      <c r="G1" t="s">
        <v>117</v>
      </c>
    </row>
    <row r="2" spans="1:7" x14ac:dyDescent="0.3">
      <c r="A2" t="s">
        <v>58</v>
      </c>
      <c r="B2" t="s">
        <v>4</v>
      </c>
      <c r="C2" s="1" t="s">
        <v>5</v>
      </c>
      <c r="D2" s="2">
        <v>45947</v>
      </c>
      <c r="E2" t="s">
        <v>63</v>
      </c>
      <c r="F2" t="s">
        <v>6</v>
      </c>
      <c r="G2" t="str" cm="1">
        <f t="array" ref="G2">_xlfn.XLOOKUP(A2&amp;E2,Calificaciones!$A$2:$A$42 &amp; Calificaciones!$B$2:$B$42,Calificaciones!$C$2:$C$42)</f>
        <v>Muy alta calidad, muy bajo riesgo.</v>
      </c>
    </row>
    <row r="3" spans="1:7" x14ac:dyDescent="0.3">
      <c r="A3" t="s">
        <v>58</v>
      </c>
      <c r="B3" t="s">
        <v>7</v>
      </c>
      <c r="C3" s="1" t="s">
        <v>8</v>
      </c>
      <c r="D3" s="2">
        <v>45918</v>
      </c>
      <c r="E3" t="s">
        <v>60</v>
      </c>
      <c r="F3" t="s">
        <v>6</v>
      </c>
      <c r="G3" t="str" cm="1">
        <f t="array" ref="G3">_xlfn.XLOOKUP(A3&amp;E3,Calificaciones!$A$2:$A$42 &amp; Calificaciones!$B$2:$B$42,Calificaciones!$C$2:$C$42)</f>
        <v>Seguridad aceptable, bajo riesgo.</v>
      </c>
    </row>
    <row r="4" spans="1:7" hidden="1" x14ac:dyDescent="0.3">
      <c r="A4" t="s">
        <v>59</v>
      </c>
      <c r="B4" t="s">
        <v>7</v>
      </c>
      <c r="C4" s="1" t="s">
        <v>8</v>
      </c>
      <c r="D4" s="2">
        <v>45903</v>
      </c>
      <c r="E4" t="s">
        <v>60</v>
      </c>
      <c r="F4" t="s">
        <v>15</v>
      </c>
      <c r="G4" t="str" cm="1">
        <f t="array" ref="G4">_xlfn.XLOOKUP(A4&amp;E4,Calificaciones!$A$2:$A$42 &amp; Calificaciones!$B$2:$B$42,Calificaciones!$C$2:$C$42)</f>
        <v>Alta calidad, bajo riesgo.</v>
      </c>
    </row>
    <row r="5" spans="1:7" x14ac:dyDescent="0.3">
      <c r="A5" t="s">
        <v>58</v>
      </c>
      <c r="B5" t="s">
        <v>9</v>
      </c>
      <c r="C5" s="1" t="s">
        <v>10</v>
      </c>
      <c r="D5" s="2">
        <v>45887</v>
      </c>
      <c r="E5" t="s">
        <v>78</v>
      </c>
      <c r="F5" t="s">
        <v>6</v>
      </c>
      <c r="G5" t="str" cm="1">
        <f t="array" ref="G5">_xlfn.XLOOKUP(A5&amp;E5,Calificaciones!$A$2:$A$42 &amp; Calificaciones!$B$2:$B$42,Calificaciones!$C$2:$C$42)</f>
        <v>Seguridad aceptable, bajo riesgo.</v>
      </c>
    </row>
    <row r="6" spans="1:7" hidden="1" x14ac:dyDescent="0.3">
      <c r="A6" t="s">
        <v>59</v>
      </c>
      <c r="B6" t="s">
        <v>9</v>
      </c>
      <c r="C6" s="1" t="s">
        <v>10</v>
      </c>
      <c r="D6" s="2">
        <v>45882</v>
      </c>
      <c r="E6" t="s">
        <v>75</v>
      </c>
      <c r="F6" t="s">
        <v>15</v>
      </c>
      <c r="G6" t="str" cm="1">
        <f t="array" ref="G6">_xlfn.XLOOKUP(A6&amp;E6,Calificaciones!$A$2:$A$42 &amp; Calificaciones!$B$2:$B$42,Calificaciones!$C$2:$C$42)</f>
        <v>Buena calidad, riesgo moderado.</v>
      </c>
    </row>
    <row r="7" spans="1:7" x14ac:dyDescent="0.3">
      <c r="A7" t="s">
        <v>58</v>
      </c>
      <c r="B7" t="s">
        <v>11</v>
      </c>
      <c r="C7" s="1" t="s">
        <v>12</v>
      </c>
      <c r="D7" s="2">
        <v>46171</v>
      </c>
      <c r="E7" t="s">
        <v>63</v>
      </c>
      <c r="F7" t="s">
        <v>6</v>
      </c>
      <c r="G7" t="str" cm="1">
        <f t="array" ref="G7">_xlfn.XLOOKUP(A7&amp;E7,Calificaciones!$A$2:$A$42 &amp; Calificaciones!$B$2:$B$42,Calificaciones!$C$2:$C$42)</f>
        <v>Muy alta calidad, muy bajo riesgo.</v>
      </c>
    </row>
    <row r="8" spans="1:7" hidden="1" x14ac:dyDescent="0.3">
      <c r="A8" t="s">
        <v>59</v>
      </c>
      <c r="B8" t="s">
        <v>11</v>
      </c>
      <c r="C8" s="1" t="s">
        <v>12</v>
      </c>
      <c r="D8" s="2">
        <v>46141</v>
      </c>
      <c r="E8" t="s">
        <v>68</v>
      </c>
      <c r="F8" t="s">
        <v>6</v>
      </c>
      <c r="G8" t="str" cm="1">
        <f t="array" ref="G8">_xlfn.XLOOKUP(A8&amp;E8,Calificaciones!$A$2:$A$42 &amp; Calificaciones!$B$2:$B$42,Calificaciones!$C$2:$C$42)</f>
        <v>Muy alta calidad, muy bajo riesgo.</v>
      </c>
    </row>
    <row r="9" spans="1:7" x14ac:dyDescent="0.3">
      <c r="A9" t="s">
        <v>58</v>
      </c>
      <c r="B9" t="s">
        <v>18</v>
      </c>
      <c r="C9" s="1" t="s">
        <v>14</v>
      </c>
      <c r="D9" s="2">
        <v>45882</v>
      </c>
      <c r="E9" t="s">
        <v>68</v>
      </c>
      <c r="F9" t="s">
        <v>6</v>
      </c>
      <c r="G9" t="str" cm="1">
        <f t="array" ref="G9">_xlfn.XLOOKUP(A9&amp;E9,Calificaciones!$A$2:$A$42 &amp; Calificaciones!$B$2:$B$42,Calificaciones!$C$2:$C$42)</f>
        <v>Muy alta calidad, muy bajo riesgo.</v>
      </c>
    </row>
    <row r="10" spans="1:7" hidden="1" x14ac:dyDescent="0.3">
      <c r="A10" t="s">
        <v>59</v>
      </c>
      <c r="B10" t="s">
        <v>18</v>
      </c>
      <c r="C10" s="1" t="s">
        <v>14</v>
      </c>
      <c r="D10" s="2">
        <v>46199</v>
      </c>
      <c r="E10" t="s">
        <v>68</v>
      </c>
      <c r="F10" t="s">
        <v>6</v>
      </c>
      <c r="G10" t="str" cm="1">
        <f t="array" ref="G10">_xlfn.XLOOKUP(A10&amp;E10,Calificaciones!$A$2:$A$42 &amp; Calificaciones!$B$2:$B$42,Calificaciones!$C$2:$C$42)</f>
        <v>Muy alta calidad, muy bajo riesgo.</v>
      </c>
    </row>
    <row r="11" spans="1:7" x14ac:dyDescent="0.3">
      <c r="A11" t="s">
        <v>58</v>
      </c>
      <c r="B11" t="s">
        <v>20</v>
      </c>
      <c r="C11" s="1" t="s">
        <v>17</v>
      </c>
      <c r="D11" s="2">
        <v>46140</v>
      </c>
      <c r="E11" t="s">
        <v>78</v>
      </c>
      <c r="F11" t="s">
        <v>67</v>
      </c>
      <c r="G11" t="str" cm="1">
        <f t="array" ref="G11">_xlfn.XLOOKUP(A11&amp;E11,Calificaciones!$A$2:$A$42 &amp; Calificaciones!$B$2:$B$42,Calificaciones!$C$2:$C$42)</f>
        <v>Seguridad aceptable, bajo riesgo.</v>
      </c>
    </row>
    <row r="12" spans="1:7" hidden="1" x14ac:dyDescent="0.3">
      <c r="A12" t="s">
        <v>59</v>
      </c>
      <c r="B12" t="s">
        <v>20</v>
      </c>
      <c r="C12" s="1" t="s">
        <v>17</v>
      </c>
      <c r="D12" s="2">
        <v>45897</v>
      </c>
      <c r="E12" t="s">
        <v>71</v>
      </c>
      <c r="F12" t="s">
        <v>6</v>
      </c>
      <c r="G12" t="str" cm="1">
        <f t="array" ref="G12">_xlfn.XLOOKUP(A12&amp;E12,Calificaciones!$A$2:$A$42 &amp; Calificaciones!$B$2:$B$42,Calificaciones!$C$2:$C$42)</f>
        <v>Alta calidad, bajo riesgo.</v>
      </c>
    </row>
    <row r="13" spans="1:7" x14ac:dyDescent="0.3">
      <c r="A13" t="s">
        <v>58</v>
      </c>
      <c r="B13" t="s">
        <v>22</v>
      </c>
      <c r="C13" s="1" t="s">
        <v>19</v>
      </c>
      <c r="D13" s="2">
        <v>45992</v>
      </c>
      <c r="E13" t="s">
        <v>70</v>
      </c>
      <c r="F13" t="s">
        <v>6</v>
      </c>
      <c r="G13" t="str" cm="1">
        <f t="array" ref="G13">_xlfn.XLOOKUP(A13&amp;E13,Calificaciones!$A$2:$A$42 &amp; Calificaciones!$B$2:$B$42,Calificaciones!$C$2:$C$42)</f>
        <v>Máxima calidad, mínimo riesgo.</v>
      </c>
    </row>
    <row r="14" spans="1:7" hidden="1" x14ac:dyDescent="0.3">
      <c r="A14" t="s">
        <v>59</v>
      </c>
      <c r="B14" t="s">
        <v>22</v>
      </c>
      <c r="C14" s="1" t="s">
        <v>19</v>
      </c>
      <c r="D14" s="2">
        <v>45986</v>
      </c>
      <c r="E14" t="s">
        <v>70</v>
      </c>
      <c r="F14" t="s">
        <v>6</v>
      </c>
      <c r="G14" t="str" cm="1">
        <f t="array" ref="G14">_xlfn.XLOOKUP(A14&amp;E14,Calificaciones!$A$2:$A$42 &amp; Calificaciones!$B$2:$B$42,Calificaciones!$C$2:$C$42)</f>
        <v>Máxima calidad, mínimo riesgo.</v>
      </c>
    </row>
    <row r="15" spans="1:7" x14ac:dyDescent="0.3">
      <c r="A15" t="s">
        <v>58</v>
      </c>
      <c r="B15" t="s">
        <v>13</v>
      </c>
      <c r="C15" s="1" t="s">
        <v>21</v>
      </c>
      <c r="D15" s="2">
        <v>46160</v>
      </c>
      <c r="E15" t="s">
        <v>78</v>
      </c>
      <c r="F15" t="s">
        <v>15</v>
      </c>
      <c r="G15" t="str" cm="1">
        <f t="array" ref="G15">_xlfn.XLOOKUP(A15&amp;E15,Calificaciones!$A$2:$A$42 &amp; Calificaciones!$B$2:$B$42,Calificaciones!$C$2:$C$42)</f>
        <v>Seguridad aceptable, bajo riesgo.</v>
      </c>
    </row>
    <row r="16" spans="1:7" hidden="1" x14ac:dyDescent="0.3">
      <c r="A16" t="s">
        <v>59</v>
      </c>
      <c r="B16" t="s">
        <v>13</v>
      </c>
      <c r="C16" s="1" t="s">
        <v>21</v>
      </c>
      <c r="D16" s="2">
        <v>46162</v>
      </c>
      <c r="E16" t="s">
        <v>78</v>
      </c>
      <c r="F16" t="s">
        <v>15</v>
      </c>
      <c r="G16" t="str" cm="1">
        <f t="array" ref="G16">_xlfn.XLOOKUP(A16&amp;E16,Calificaciones!$A$2:$A$42 &amp; Calificaciones!$B$2:$B$42,Calificaciones!$C$2:$C$42)</f>
        <v>Alta calidad, bajo riesgo.</v>
      </c>
    </row>
    <row r="17" spans="1:7" x14ac:dyDescent="0.3">
      <c r="A17" t="s">
        <v>58</v>
      </c>
      <c r="B17" t="s">
        <v>16</v>
      </c>
      <c r="C17" s="1" t="s">
        <v>23</v>
      </c>
      <c r="D17" s="2">
        <v>45845</v>
      </c>
      <c r="E17" t="s">
        <v>75</v>
      </c>
      <c r="F17" t="s">
        <v>6</v>
      </c>
      <c r="G17" t="str" cm="1">
        <f t="array" ref="G17">_xlfn.XLOOKUP(A17&amp;E17,Calificaciones!$A$2:$A$42 &amp; Calificaciones!$B$2:$B$42,Calificaciones!$C$2:$C$42)</f>
        <v>Seguridad moderada, riesgo moderado.</v>
      </c>
    </row>
    <row r="18" spans="1:7" hidden="1" x14ac:dyDescent="0.3">
      <c r="A18" t="s">
        <v>59</v>
      </c>
      <c r="B18" t="s">
        <v>16</v>
      </c>
      <c r="C18" s="1" t="s">
        <v>23</v>
      </c>
      <c r="D18" s="2">
        <v>45883</v>
      </c>
      <c r="E18" t="s">
        <v>74</v>
      </c>
      <c r="F18" t="s">
        <v>6</v>
      </c>
      <c r="G18" t="str" cm="1">
        <f t="array" ref="G18">_xlfn.XLOOKUP(A18&amp;E18,Calificaciones!$A$2:$A$42 &amp; Calificaciones!$B$2:$B$42,Calificaciones!$C$2:$C$42)</f>
        <v>Buena calidad, riesgo moderado.</v>
      </c>
    </row>
    <row r="19" spans="1:7" x14ac:dyDescent="0.3">
      <c r="A19" t="s">
        <v>58</v>
      </c>
      <c r="B19" t="s">
        <v>24</v>
      </c>
      <c r="C19" s="1" t="s">
        <v>25</v>
      </c>
      <c r="D19" s="2">
        <v>45917</v>
      </c>
      <c r="E19" t="s">
        <v>73</v>
      </c>
      <c r="F19" t="s">
        <v>15</v>
      </c>
      <c r="G19" t="str" cm="1">
        <f t="array" ref="G19">_xlfn.XLOOKUP(A19&amp;E19,Calificaciones!$A$2:$A$42 &amp; Calificaciones!$B$2:$B$42,Calificaciones!$C$2:$C$42)</f>
        <v>Seguridad moderada, riesgo moderado.</v>
      </c>
    </row>
    <row r="20" spans="1:7" hidden="1" x14ac:dyDescent="0.3">
      <c r="A20" t="s">
        <v>59</v>
      </c>
      <c r="B20" t="s">
        <v>76</v>
      </c>
      <c r="C20" s="1" t="s">
        <v>77</v>
      </c>
      <c r="D20" s="2">
        <v>45852</v>
      </c>
      <c r="E20" t="s">
        <v>63</v>
      </c>
      <c r="F20" t="s">
        <v>6</v>
      </c>
      <c r="G20" t="str" cm="1">
        <f t="array" ref="G20">_xlfn.XLOOKUP(A20&amp;E20,Calificaciones!$A$2:$A$42 &amp; Calificaciones!$B$2:$B$42,Calificaciones!$C$2:$C$42)</f>
        <v>Muy alta calidad, muy bajo riesgo.</v>
      </c>
    </row>
    <row r="21" spans="1:7" hidden="1" x14ac:dyDescent="0.3">
      <c r="A21" t="s">
        <v>59</v>
      </c>
      <c r="B21" t="s">
        <v>79</v>
      </c>
      <c r="C21" s="1" t="s">
        <v>80</v>
      </c>
      <c r="D21" s="2">
        <v>46134</v>
      </c>
      <c r="E21" t="s">
        <v>70</v>
      </c>
      <c r="F21" t="s">
        <v>6</v>
      </c>
      <c r="G21" t="str" cm="1">
        <f t="array" ref="G21">_xlfn.XLOOKUP(A21&amp;E21,Calificaciones!$A$2:$A$42 &amp; Calificaciones!$B$2:$B$42,Calificaciones!$C$2:$C$42)</f>
        <v>Máxima calidad, mínimo riesgo.</v>
      </c>
    </row>
    <row r="22" spans="1:7" hidden="1" x14ac:dyDescent="0.3">
      <c r="A22" t="s">
        <v>59</v>
      </c>
      <c r="B22" t="s">
        <v>72</v>
      </c>
      <c r="C22" s="1" t="s">
        <v>27</v>
      </c>
      <c r="D22" s="2">
        <v>45898</v>
      </c>
      <c r="E22" t="s">
        <v>73</v>
      </c>
      <c r="F22" t="s">
        <v>67</v>
      </c>
      <c r="G22" t="str" cm="1">
        <f t="array" ref="G22">_xlfn.XLOOKUP(A22&amp;E22,Calificaciones!$A$2:$A$42 &amp; Calificaciones!$B$2:$B$42,Calificaciones!$C$2:$C$42)</f>
        <v>Buena calidad, riesgo moderado.</v>
      </c>
    </row>
    <row r="23" spans="1:7" x14ac:dyDescent="0.3">
      <c r="A23" t="s">
        <v>58</v>
      </c>
      <c r="B23" t="s">
        <v>26</v>
      </c>
      <c r="C23" s="1" t="s">
        <v>29</v>
      </c>
      <c r="D23" s="2">
        <v>46126</v>
      </c>
      <c r="E23" t="s">
        <v>63</v>
      </c>
      <c r="F23" t="s">
        <v>15</v>
      </c>
      <c r="G23" t="str" cm="1">
        <f t="array" ref="G23">_xlfn.XLOOKUP(A23&amp;E23,Calificaciones!$A$2:$A$42 &amp; Calificaciones!$B$2:$B$42,Calificaciones!$C$2:$C$42)</f>
        <v>Muy alta calidad, muy bajo riesgo.</v>
      </c>
    </row>
    <row r="24" spans="1:7" hidden="1" x14ac:dyDescent="0.3">
      <c r="A24" t="s">
        <v>59</v>
      </c>
      <c r="B24" t="s">
        <v>26</v>
      </c>
      <c r="C24" s="1" t="s">
        <v>29</v>
      </c>
      <c r="D24" s="2">
        <v>46157</v>
      </c>
      <c r="E24" t="s">
        <v>63</v>
      </c>
      <c r="F24" t="s">
        <v>6</v>
      </c>
      <c r="G24" t="str" cm="1">
        <f t="array" ref="G24">_xlfn.XLOOKUP(A24&amp;E24,Calificaciones!$A$2:$A$42 &amp; Calificaciones!$B$2:$B$42,Calificaciones!$C$2:$C$42)</f>
        <v>Muy alta calidad, muy bajo riesgo.</v>
      </c>
    </row>
    <row r="25" spans="1:7" x14ac:dyDescent="0.3">
      <c r="A25" t="s">
        <v>58</v>
      </c>
      <c r="B25" t="s">
        <v>28</v>
      </c>
      <c r="C25" s="1" t="s">
        <v>69</v>
      </c>
      <c r="D25" s="2">
        <v>45888</v>
      </c>
      <c r="E25" t="s">
        <v>63</v>
      </c>
      <c r="F25" t="s">
        <v>6</v>
      </c>
      <c r="G25" t="str" cm="1">
        <f t="array" ref="G25">_xlfn.XLOOKUP(A25&amp;E25,Calificaciones!$A$2:$A$42 &amp; Calificaciones!$B$2:$B$42,Calificaciones!$C$2:$C$42)</f>
        <v>Muy alta calidad, muy bajo riesgo.</v>
      </c>
    </row>
    <row r="26" spans="1:7" hidden="1" x14ac:dyDescent="0.3">
      <c r="A26" t="s">
        <v>59</v>
      </c>
      <c r="B26" t="s">
        <v>28</v>
      </c>
      <c r="C26" s="1" t="s">
        <v>69</v>
      </c>
      <c r="D26" s="2">
        <v>45952</v>
      </c>
      <c r="E26" t="s">
        <v>70</v>
      </c>
      <c r="F26" t="s">
        <v>6</v>
      </c>
      <c r="G26" t="str" cm="1">
        <f t="array" ref="G26">_xlfn.XLOOKUP(A26&amp;E26,Calificaciones!$A$2:$A$42 &amp; Calificaciones!$B$2:$B$42,Calificaciones!$C$2:$C$42)</f>
        <v>Máxima calidad, mínimo riesgo.</v>
      </c>
    </row>
    <row r="27" spans="1:7" x14ac:dyDescent="0.3">
      <c r="A27" t="s">
        <v>58</v>
      </c>
      <c r="B27" t="s">
        <v>30</v>
      </c>
      <c r="C27" s="1" t="s">
        <v>31</v>
      </c>
      <c r="D27" s="2">
        <v>45903</v>
      </c>
      <c r="E27" t="s">
        <v>60</v>
      </c>
      <c r="F27" t="s">
        <v>6</v>
      </c>
      <c r="G27" t="str" cm="1">
        <f t="array" ref="G27">_xlfn.XLOOKUP(A27&amp;E27,Calificaciones!$A$2:$A$42 &amp; Calificaciones!$B$2:$B$42,Calificaciones!$C$2:$C$42)</f>
        <v>Seguridad aceptable, bajo riesgo.</v>
      </c>
    </row>
    <row r="28" spans="1:7" hidden="1" x14ac:dyDescent="0.3">
      <c r="A28" t="s">
        <v>59</v>
      </c>
      <c r="B28" t="s">
        <v>30</v>
      </c>
      <c r="C28" s="1" t="s">
        <v>31</v>
      </c>
      <c r="D28" s="2">
        <v>45862</v>
      </c>
      <c r="E28" t="s">
        <v>75</v>
      </c>
      <c r="F28" t="s">
        <v>6</v>
      </c>
      <c r="G28" t="str" cm="1">
        <f t="array" ref="G28">_xlfn.XLOOKUP(A28&amp;E28,Calificaciones!$A$2:$A$42 &amp; Calificaciones!$B$2:$B$42,Calificaciones!$C$2:$C$42)</f>
        <v>Buena calidad, riesgo moderado.</v>
      </c>
    </row>
    <row r="29" spans="1:7" x14ac:dyDescent="0.3">
      <c r="A29" t="s">
        <v>58</v>
      </c>
      <c r="B29" t="s">
        <v>32</v>
      </c>
      <c r="C29" s="1" t="s">
        <v>33</v>
      </c>
      <c r="D29" s="2">
        <v>46198</v>
      </c>
      <c r="E29" t="s">
        <v>68</v>
      </c>
      <c r="F29" t="s">
        <v>15</v>
      </c>
      <c r="G29" t="str" cm="1">
        <f t="array" ref="G29">_xlfn.XLOOKUP(A29&amp;E29,Calificaciones!$A$2:$A$42 &amp; Calificaciones!$B$2:$B$42,Calificaciones!$C$2:$C$42)</f>
        <v>Muy alta calidad, muy bajo riesgo.</v>
      </c>
    </row>
    <row r="30" spans="1:7" hidden="1" x14ac:dyDescent="0.3">
      <c r="A30" t="s">
        <v>59</v>
      </c>
      <c r="B30" t="s">
        <v>32</v>
      </c>
      <c r="C30" s="1" t="s">
        <v>33</v>
      </c>
      <c r="D30" s="2">
        <v>46182</v>
      </c>
      <c r="E30" t="s">
        <v>68</v>
      </c>
      <c r="F30" t="s">
        <v>6</v>
      </c>
      <c r="G30" t="str" cm="1">
        <f t="array" ref="G30">_xlfn.XLOOKUP(A30&amp;E30,Calificaciones!$A$2:$A$42 &amp; Calificaciones!$B$2:$B$42,Calificaciones!$C$2:$C$42)</f>
        <v>Muy alta calidad, muy bajo riesgo.</v>
      </c>
    </row>
    <row r="31" spans="1:7" x14ac:dyDescent="0.3">
      <c r="A31" t="s">
        <v>58</v>
      </c>
      <c r="B31" t="s">
        <v>34</v>
      </c>
      <c r="C31" s="1" t="s">
        <v>35</v>
      </c>
      <c r="D31" s="2">
        <v>45889</v>
      </c>
      <c r="E31" t="s">
        <v>74</v>
      </c>
      <c r="F31" t="s">
        <v>6</v>
      </c>
      <c r="G31" t="str" cm="1">
        <f t="array" ref="G31">_xlfn.XLOOKUP(A31&amp;E31,Calificaciones!$A$2:$A$42 &amp; Calificaciones!$B$2:$B$42,Calificaciones!$C$2:$C$42)</f>
        <v>Seguridad moderada, riesgo moderado.</v>
      </c>
    </row>
    <row r="32" spans="1:7" x14ac:dyDescent="0.3">
      <c r="A32" t="s">
        <v>58</v>
      </c>
      <c r="B32" t="s">
        <v>36</v>
      </c>
      <c r="C32" s="1" t="s">
        <v>37</v>
      </c>
      <c r="D32" s="2">
        <v>45880</v>
      </c>
      <c r="E32" t="s">
        <v>78</v>
      </c>
      <c r="F32" t="s">
        <v>6</v>
      </c>
      <c r="G32" t="str" cm="1">
        <f t="array" ref="G32">_xlfn.XLOOKUP(A32&amp;E32,Calificaciones!$A$2:$A$42 &amp; Calificaciones!$B$2:$B$42,Calificaciones!$C$2:$C$42)</f>
        <v>Seguridad aceptable, bajo riesgo.</v>
      </c>
    </row>
    <row r="33" spans="1:7" hidden="1" x14ac:dyDescent="0.3">
      <c r="A33" t="s">
        <v>59</v>
      </c>
      <c r="B33" t="s">
        <v>36</v>
      </c>
      <c r="C33" s="1" t="s">
        <v>37</v>
      </c>
      <c r="D33" s="2">
        <v>46162</v>
      </c>
      <c r="E33" t="s">
        <v>60</v>
      </c>
      <c r="F33" t="s">
        <v>67</v>
      </c>
      <c r="G33" t="str" cm="1">
        <f t="array" ref="G33">_xlfn.XLOOKUP(A33&amp;E33,Calificaciones!$A$2:$A$42 &amp; Calificaciones!$B$2:$B$42,Calificaciones!$C$2:$C$42)</f>
        <v>Alta calidad, bajo riesgo.</v>
      </c>
    </row>
    <row r="34" spans="1:7" x14ac:dyDescent="0.3">
      <c r="A34" t="s">
        <v>58</v>
      </c>
      <c r="B34" t="s">
        <v>38</v>
      </c>
      <c r="C34" s="1" t="s">
        <v>39</v>
      </c>
      <c r="D34" s="2">
        <v>45993</v>
      </c>
      <c r="E34" t="s">
        <v>66</v>
      </c>
      <c r="F34" t="s">
        <v>6</v>
      </c>
      <c r="G34" t="str" cm="1">
        <f t="array" ref="G34">_xlfn.XLOOKUP(A34&amp;E34,Calificaciones!$A$2:$A$42 &amp; Calificaciones!$B$2:$B$42,Calificaciones!$C$2:$C$42)</f>
        <v>Muy alta calidad, muy bajo riesgo.</v>
      </c>
    </row>
    <row r="35" spans="1:7" hidden="1" x14ac:dyDescent="0.3">
      <c r="A35" t="s">
        <v>59</v>
      </c>
      <c r="B35" t="s">
        <v>38</v>
      </c>
      <c r="C35" s="1" t="s">
        <v>62</v>
      </c>
      <c r="D35" s="2">
        <v>45958</v>
      </c>
      <c r="E35" t="s">
        <v>68</v>
      </c>
      <c r="F35" t="s">
        <v>6</v>
      </c>
      <c r="G35" t="str" cm="1">
        <f t="array" ref="G35">_xlfn.XLOOKUP(A35&amp;E35,Calificaciones!$A$2:$A$42 &amp; Calificaciones!$B$2:$B$42,Calificaciones!$C$2:$C$42)</f>
        <v>Muy alta calidad, muy bajo riesgo.</v>
      </c>
    </row>
    <row r="36" spans="1:7" hidden="1" x14ac:dyDescent="0.3">
      <c r="A36" t="s">
        <v>59</v>
      </c>
      <c r="B36" t="s">
        <v>61</v>
      </c>
      <c r="C36" s="1" t="s">
        <v>62</v>
      </c>
      <c r="D36" s="2">
        <v>45979</v>
      </c>
      <c r="E36" t="s">
        <v>63</v>
      </c>
      <c r="F36" t="s">
        <v>6</v>
      </c>
      <c r="G36" t="str" cm="1">
        <f t="array" ref="G36">_xlfn.XLOOKUP(A36&amp;E36,Calificaciones!$A$2:$A$42 &amp; Calificaciones!$B$2:$B$42,Calificaciones!$C$2:$C$42)</f>
        <v>Muy alta calidad, muy bajo riesgo.</v>
      </c>
    </row>
    <row r="37" spans="1:7" hidden="1" x14ac:dyDescent="0.3">
      <c r="A37" t="s">
        <v>59</v>
      </c>
      <c r="B37" t="s">
        <v>81</v>
      </c>
      <c r="C37" s="1" t="s">
        <v>82</v>
      </c>
      <c r="D37" s="2">
        <v>45877</v>
      </c>
      <c r="E37" t="s">
        <v>70</v>
      </c>
      <c r="F37" t="s">
        <v>6</v>
      </c>
      <c r="G37" t="str" cm="1">
        <f t="array" ref="G37">_xlfn.XLOOKUP(A37&amp;E37,Calificaciones!$A$2:$A$42 &amp; Calificaciones!$B$2:$B$42,Calificaciones!$C$2:$C$42)</f>
        <v>Máxima calidad, mínimo riesgo.</v>
      </c>
    </row>
    <row r="38" spans="1:7" x14ac:dyDescent="0.3">
      <c r="A38" t="s">
        <v>58</v>
      </c>
      <c r="B38" t="s">
        <v>40</v>
      </c>
      <c r="C38" s="1" t="s">
        <v>41</v>
      </c>
      <c r="D38" s="2">
        <v>45897</v>
      </c>
      <c r="E38" t="s">
        <v>78</v>
      </c>
      <c r="F38" t="s">
        <v>15</v>
      </c>
      <c r="G38" t="str" cm="1">
        <f t="array" ref="G38">_xlfn.XLOOKUP(A38&amp;E38,Calificaciones!$A$2:$A$42 &amp; Calificaciones!$B$2:$B$42,Calificaciones!$C$2:$C$42)</f>
        <v>Seguridad aceptable, bajo riesgo.</v>
      </c>
    </row>
    <row r="39" spans="1:7" hidden="1" x14ac:dyDescent="0.3">
      <c r="A39" t="s">
        <v>59</v>
      </c>
      <c r="B39" t="s">
        <v>40</v>
      </c>
      <c r="C39" s="1" t="s">
        <v>41</v>
      </c>
      <c r="D39" s="2">
        <v>46182</v>
      </c>
      <c r="E39" t="s">
        <v>78</v>
      </c>
      <c r="F39" t="s">
        <v>15</v>
      </c>
      <c r="G39" t="str" cm="1">
        <f t="array" ref="G39">_xlfn.XLOOKUP(A39&amp;E39,Calificaciones!$A$2:$A$42 &amp; Calificaciones!$B$2:$B$42,Calificaciones!$C$2:$C$42)</f>
        <v>Alta calidad, bajo riesgo.</v>
      </c>
    </row>
    <row r="40" spans="1:7" x14ac:dyDescent="0.3">
      <c r="A40" t="s">
        <v>58</v>
      </c>
      <c r="B40" t="s">
        <v>42</v>
      </c>
      <c r="C40" s="1" t="s">
        <v>43</v>
      </c>
      <c r="D40" s="2">
        <v>45809</v>
      </c>
      <c r="E40" t="s">
        <v>71</v>
      </c>
      <c r="F40" t="s">
        <v>15</v>
      </c>
      <c r="G40" t="str" cm="1">
        <f t="array" ref="G40">_xlfn.XLOOKUP(A40&amp;E40,Calificaciones!$A$2:$A$42 &amp; Calificaciones!$B$2:$B$42,Calificaciones!$C$2:$C$42)</f>
        <v>Seguridad aceptable, bajo riesgo.</v>
      </c>
    </row>
    <row r="41" spans="1:7" hidden="1" x14ac:dyDescent="0.3">
      <c r="A41" t="s">
        <v>59</v>
      </c>
      <c r="B41" t="s">
        <v>42</v>
      </c>
      <c r="C41" s="1" t="s">
        <v>43</v>
      </c>
      <c r="D41" s="2">
        <v>45874</v>
      </c>
      <c r="E41" t="s">
        <v>71</v>
      </c>
      <c r="F41" t="s">
        <v>6</v>
      </c>
      <c r="G41" t="str" cm="1">
        <f t="array" ref="G41">_xlfn.XLOOKUP(A41&amp;E41,Calificaciones!$A$2:$A$42 &amp; Calificaciones!$B$2:$B$42,Calificaciones!$C$2:$C$42)</f>
        <v>Alta calidad, bajo riesgo.</v>
      </c>
    </row>
    <row r="42" spans="1:7" hidden="1" x14ac:dyDescent="0.3">
      <c r="A42" t="s">
        <v>59</v>
      </c>
      <c r="B42" t="s">
        <v>64</v>
      </c>
      <c r="C42" s="1" t="s">
        <v>65</v>
      </c>
      <c r="D42" s="2">
        <v>45960</v>
      </c>
      <c r="E42" t="s">
        <v>66</v>
      </c>
      <c r="F42" t="s">
        <v>67</v>
      </c>
      <c r="G42" t="str" cm="1">
        <f t="array" ref="G42">_xlfn.XLOOKUP(A42&amp;E42,Calificaciones!$A$2:$A$42 &amp; Calificaciones!$B$2:$B$42,Calificaciones!$C$2:$C$42)</f>
        <v>Muy alta calidad, muy bajo riesgo.</v>
      </c>
    </row>
    <row r="43" spans="1:7" x14ac:dyDescent="0.3">
      <c r="A43" t="s">
        <v>58</v>
      </c>
      <c r="B43" t="s">
        <v>44</v>
      </c>
      <c r="C43" s="1" t="s">
        <v>45</v>
      </c>
      <c r="D43" s="2">
        <v>45944</v>
      </c>
      <c r="E43" t="s">
        <v>71</v>
      </c>
      <c r="F43" t="s">
        <v>6</v>
      </c>
      <c r="G43" t="str" cm="1">
        <f t="array" ref="G43">_xlfn.XLOOKUP(A43&amp;E43,Calificaciones!$A$2:$A$42 &amp; Calificaciones!$B$2:$B$42,Calificaciones!$C$2:$C$42)</f>
        <v>Seguridad aceptable, bajo riesgo.</v>
      </c>
    </row>
    <row r="44" spans="1:7" hidden="1" x14ac:dyDescent="0.3">
      <c r="A44" t="s">
        <v>59</v>
      </c>
      <c r="B44" t="s">
        <v>44</v>
      </c>
      <c r="C44" s="1" t="s">
        <v>45</v>
      </c>
      <c r="D44" s="2">
        <v>45883</v>
      </c>
      <c r="E44" t="s">
        <v>60</v>
      </c>
      <c r="F44" t="s">
        <v>6</v>
      </c>
      <c r="G44" t="str" cm="1">
        <f t="array" ref="G44">_xlfn.XLOOKUP(A44&amp;E44,Calificaciones!$A$2:$A$42 &amp; Calificaciones!$B$2:$B$42,Calificaciones!$C$2:$C$42)</f>
        <v>Alta calidad, bajo riesgo.</v>
      </c>
    </row>
    <row r="45" spans="1:7" x14ac:dyDescent="0.3">
      <c r="A45" t="s">
        <v>58</v>
      </c>
      <c r="B45" t="s">
        <v>46</v>
      </c>
      <c r="C45" s="1" t="s">
        <v>47</v>
      </c>
      <c r="D45" s="2">
        <v>46134</v>
      </c>
      <c r="E45" t="s">
        <v>68</v>
      </c>
      <c r="F45" t="s">
        <v>6</v>
      </c>
      <c r="G45" t="str" cm="1">
        <f t="array" ref="G45">_xlfn.XLOOKUP(A45&amp;E45,Calificaciones!$A$2:$A$42 &amp; Calificaciones!$B$2:$B$42,Calificaciones!$C$2:$C$42)</f>
        <v>Muy alta calidad, muy bajo riesgo.</v>
      </c>
    </row>
    <row r="46" spans="1:7" x14ac:dyDescent="0.3">
      <c r="A46" t="s">
        <v>58</v>
      </c>
      <c r="B46" t="s">
        <v>48</v>
      </c>
      <c r="C46" s="1" t="s">
        <v>49</v>
      </c>
      <c r="D46" s="2">
        <v>45929</v>
      </c>
      <c r="E46" t="s">
        <v>78</v>
      </c>
      <c r="F46" t="s">
        <v>6</v>
      </c>
      <c r="G46" t="str" cm="1">
        <f t="array" ref="G46">_xlfn.XLOOKUP(A46&amp;E46,Calificaciones!$A$2:$A$42 &amp; Calificaciones!$B$2:$B$42,Calificaciones!$C$2:$C$42)</f>
        <v>Seguridad aceptable, bajo riesgo.</v>
      </c>
    </row>
    <row r="47" spans="1:7" hidden="1" x14ac:dyDescent="0.3">
      <c r="A47" t="s">
        <v>59</v>
      </c>
      <c r="B47" t="s">
        <v>48</v>
      </c>
      <c r="C47" s="1" t="s">
        <v>49</v>
      </c>
      <c r="D47" s="2">
        <v>45849</v>
      </c>
      <c r="E47" t="s">
        <v>78</v>
      </c>
      <c r="F47" t="s">
        <v>6</v>
      </c>
      <c r="G47" t="str" cm="1">
        <f t="array" ref="G47">_xlfn.XLOOKUP(A47&amp;E47,Calificaciones!$A$2:$A$42 &amp; Calificaciones!$B$2:$B$42,Calificaciones!$C$2:$C$42)</f>
        <v>Alta calidad, bajo riesgo.</v>
      </c>
    </row>
    <row r="48" spans="1:7" hidden="1" x14ac:dyDescent="0.3">
      <c r="A48" t="s">
        <v>83</v>
      </c>
      <c r="B48" t="s">
        <v>84</v>
      </c>
      <c r="C48" s="1" t="s">
        <v>85</v>
      </c>
      <c r="D48" s="2" t="s">
        <v>83</v>
      </c>
      <c r="E48" t="s">
        <v>83</v>
      </c>
      <c r="F48" t="s">
        <v>83</v>
      </c>
      <c r="G48" t="e" cm="1">
        <f t="array" ref="G48">_xlfn.XLOOKUP(A48&amp;E48,Calificaciones!$A$2:$A$42 &amp; Calificaciones!$B$2:$B$42,Calificaciones!$C$2:$C$42)</f>
        <v>#N/A</v>
      </c>
    </row>
    <row r="49" spans="1:7" x14ac:dyDescent="0.3">
      <c r="A49" t="s">
        <v>58</v>
      </c>
      <c r="B49" t="s">
        <v>50</v>
      </c>
      <c r="C49" s="1" t="s">
        <v>51</v>
      </c>
      <c r="D49" s="2">
        <v>46155</v>
      </c>
      <c r="E49" t="s">
        <v>71</v>
      </c>
      <c r="F49" t="s">
        <v>6</v>
      </c>
      <c r="G49" t="str" cm="1">
        <f t="array" ref="G49">_xlfn.XLOOKUP(A49&amp;E49,Calificaciones!$A$2:$A$42 &amp; Calificaciones!$B$2:$B$42,Calificaciones!$C$2:$C$42)</f>
        <v>Seguridad aceptable, bajo riesgo.</v>
      </c>
    </row>
    <row r="50" spans="1:7" hidden="1" x14ac:dyDescent="0.3">
      <c r="A50" t="s">
        <v>59</v>
      </c>
      <c r="B50" t="s">
        <v>50</v>
      </c>
      <c r="C50" s="1" t="s">
        <v>51</v>
      </c>
      <c r="D50" s="2">
        <v>45923</v>
      </c>
      <c r="E50" t="s">
        <v>71</v>
      </c>
      <c r="F50" t="s">
        <v>6</v>
      </c>
      <c r="G50" t="str" cm="1">
        <f t="array" ref="G50">_xlfn.XLOOKUP(A50&amp;E50,Calificaciones!$A$2:$A$42 &amp; Calificaciones!$B$2:$B$42,Calificaciones!$C$2:$C$42)</f>
        <v>Alta calidad, bajo riesgo.</v>
      </c>
    </row>
    <row r="51" spans="1:7" x14ac:dyDescent="0.3">
      <c r="A51" t="s">
        <v>58</v>
      </c>
      <c r="B51" t="s">
        <v>52</v>
      </c>
      <c r="C51" s="1" t="s">
        <v>53</v>
      </c>
      <c r="D51" s="2">
        <v>46106</v>
      </c>
      <c r="E51" t="s">
        <v>63</v>
      </c>
      <c r="F51" t="s">
        <v>15</v>
      </c>
      <c r="G51" t="str" cm="1">
        <f t="array" ref="G51">_xlfn.XLOOKUP(A51&amp;E51,Calificaciones!$A$2:$A$42 &amp; Calificaciones!$B$2:$B$42,Calificaciones!$C$2:$C$42)</f>
        <v>Muy alta calidad, muy bajo riesgo.</v>
      </c>
    </row>
    <row r="52" spans="1:7" hidden="1" x14ac:dyDescent="0.3">
      <c r="A52" t="s">
        <v>59</v>
      </c>
      <c r="B52" t="s">
        <v>52</v>
      </c>
      <c r="C52" s="1" t="s">
        <v>53</v>
      </c>
      <c r="D52" s="2">
        <v>46155</v>
      </c>
      <c r="E52" t="s">
        <v>68</v>
      </c>
      <c r="F52" t="s">
        <v>67</v>
      </c>
      <c r="G52" t="str" cm="1">
        <f t="array" ref="G52">_xlfn.XLOOKUP(A52&amp;E52,Calificaciones!$A$2:$A$42 &amp; Calificaciones!$B$2:$B$42,Calificaciones!$C$2:$C$42)</f>
        <v>Muy alta calidad, muy bajo riesgo.</v>
      </c>
    </row>
    <row r="53" spans="1:7" x14ac:dyDescent="0.3">
      <c r="A53" t="s">
        <v>58</v>
      </c>
      <c r="B53" t="s">
        <v>54</v>
      </c>
      <c r="C53" s="1" t="s">
        <v>55</v>
      </c>
      <c r="D53" s="2">
        <v>45867</v>
      </c>
      <c r="E53" t="s">
        <v>78</v>
      </c>
      <c r="F53" t="s">
        <v>15</v>
      </c>
      <c r="G53" t="str" cm="1">
        <f t="array" ref="G53">_xlfn.XLOOKUP(A53&amp;E53,Calificaciones!$A$2:$A$42 &amp; Calificaciones!$B$2:$B$42,Calificaciones!$C$2:$C$42)</f>
        <v>Seguridad aceptable, bajo riesgo.</v>
      </c>
    </row>
    <row r="54" spans="1:7" hidden="1" x14ac:dyDescent="0.3">
      <c r="A54" t="s">
        <v>59</v>
      </c>
      <c r="B54" t="s">
        <v>54</v>
      </c>
      <c r="C54" s="1" t="s">
        <v>55</v>
      </c>
      <c r="D54" s="2">
        <v>45869</v>
      </c>
      <c r="E54" t="s">
        <v>68</v>
      </c>
      <c r="F54" t="s">
        <v>6</v>
      </c>
      <c r="G54" t="str" cm="1">
        <f t="array" ref="G54">_xlfn.XLOOKUP(A54&amp;E54,Calificaciones!$A$2:$A$42 &amp; Calificaciones!$B$2:$B$42,Calificaciones!$C$2:$C$42)</f>
        <v>Muy alta calidad, muy bajo riesgo.</v>
      </c>
    </row>
  </sheetData>
  <autoFilter ref="A1:G54" xr:uid="{764BDB02-0437-47C5-9FBF-8C740C4A6734}">
    <filterColumn colId="0">
      <filters>
        <filter val="HR"/>
      </filters>
    </filterColumn>
  </autoFilter>
  <sortState xmlns:xlrd2="http://schemas.microsoft.com/office/spreadsheetml/2017/richdata2" ref="A2:F54">
    <sortCondition ref="C2:C54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21F93-105B-4924-8C1A-00E3C9FEEDD8}">
  <sheetPr codeName="Hoja2"/>
  <dimension ref="A1:C42"/>
  <sheetViews>
    <sheetView workbookViewId="0">
      <selection activeCell="F20" sqref="F20"/>
    </sheetView>
  </sheetViews>
  <sheetFormatPr baseColWidth="10" defaultRowHeight="14.4" x14ac:dyDescent="0.3"/>
  <sheetData>
    <row r="1" spans="1:3" x14ac:dyDescent="0.3">
      <c r="A1" t="s">
        <v>57</v>
      </c>
      <c r="B1" t="s">
        <v>2</v>
      </c>
      <c r="C1" t="s">
        <v>86</v>
      </c>
    </row>
    <row r="2" spans="1:3" x14ac:dyDescent="0.3">
      <c r="A2" t="s">
        <v>58</v>
      </c>
      <c r="B2" t="s">
        <v>70</v>
      </c>
      <c r="C2" t="s">
        <v>100</v>
      </c>
    </row>
    <row r="3" spans="1:3" x14ac:dyDescent="0.3">
      <c r="A3" t="s">
        <v>58</v>
      </c>
      <c r="B3" t="s">
        <v>63</v>
      </c>
      <c r="C3" t="s">
        <v>101</v>
      </c>
    </row>
    <row r="4" spans="1:3" x14ac:dyDescent="0.3">
      <c r="A4" t="s">
        <v>58</v>
      </c>
      <c r="B4" t="s">
        <v>66</v>
      </c>
      <c r="C4" t="s">
        <v>101</v>
      </c>
    </row>
    <row r="5" spans="1:3" x14ac:dyDescent="0.3">
      <c r="A5" t="s">
        <v>58</v>
      </c>
      <c r="B5" t="s">
        <v>68</v>
      </c>
      <c r="C5" t="s">
        <v>101</v>
      </c>
    </row>
    <row r="6" spans="1:3" x14ac:dyDescent="0.3">
      <c r="A6" t="s">
        <v>58</v>
      </c>
      <c r="B6" t="s">
        <v>78</v>
      </c>
      <c r="C6" t="s">
        <v>104</v>
      </c>
    </row>
    <row r="7" spans="1:3" x14ac:dyDescent="0.3">
      <c r="A7" t="s">
        <v>58</v>
      </c>
      <c r="B7" t="s">
        <v>71</v>
      </c>
      <c r="C7" t="s">
        <v>104</v>
      </c>
    </row>
    <row r="8" spans="1:3" x14ac:dyDescent="0.3">
      <c r="A8" t="s">
        <v>58</v>
      </c>
      <c r="B8" t="s">
        <v>60</v>
      </c>
      <c r="C8" t="s">
        <v>104</v>
      </c>
    </row>
    <row r="9" spans="1:3" x14ac:dyDescent="0.3">
      <c r="A9" t="s">
        <v>58</v>
      </c>
      <c r="B9" t="s">
        <v>75</v>
      </c>
      <c r="C9" t="s">
        <v>105</v>
      </c>
    </row>
    <row r="10" spans="1:3" x14ac:dyDescent="0.3">
      <c r="A10" t="s">
        <v>58</v>
      </c>
      <c r="B10" t="s">
        <v>73</v>
      </c>
      <c r="C10" t="s">
        <v>105</v>
      </c>
    </row>
    <row r="11" spans="1:3" x14ac:dyDescent="0.3">
      <c r="A11" t="s">
        <v>58</v>
      </c>
      <c r="B11" t="s">
        <v>74</v>
      </c>
      <c r="C11" t="s">
        <v>105</v>
      </c>
    </row>
    <row r="12" spans="1:3" x14ac:dyDescent="0.3">
      <c r="A12" t="s">
        <v>58</v>
      </c>
      <c r="B12" t="s">
        <v>91</v>
      </c>
      <c r="C12" t="s">
        <v>107</v>
      </c>
    </row>
    <row r="13" spans="1:3" x14ac:dyDescent="0.3">
      <c r="A13" t="s">
        <v>58</v>
      </c>
      <c r="B13" t="s">
        <v>87</v>
      </c>
      <c r="C13" t="s">
        <v>107</v>
      </c>
    </row>
    <row r="14" spans="1:3" x14ac:dyDescent="0.3">
      <c r="A14" t="s">
        <v>58</v>
      </c>
      <c r="B14" t="s">
        <v>92</v>
      </c>
      <c r="C14" t="s">
        <v>107</v>
      </c>
    </row>
    <row r="15" spans="1:3" x14ac:dyDescent="0.3">
      <c r="A15" t="s">
        <v>58</v>
      </c>
      <c r="B15" t="s">
        <v>93</v>
      </c>
      <c r="C15" t="s">
        <v>106</v>
      </c>
    </row>
    <row r="16" spans="1:3" x14ac:dyDescent="0.3">
      <c r="A16" t="s">
        <v>58</v>
      </c>
      <c r="B16" t="s">
        <v>88</v>
      </c>
      <c r="C16" t="s">
        <v>106</v>
      </c>
    </row>
    <row r="17" spans="1:3" x14ac:dyDescent="0.3">
      <c r="A17" t="s">
        <v>58</v>
      </c>
      <c r="B17" t="s">
        <v>94</v>
      </c>
      <c r="C17" t="s">
        <v>106</v>
      </c>
    </row>
    <row r="18" spans="1:3" x14ac:dyDescent="0.3">
      <c r="A18" t="s">
        <v>58</v>
      </c>
      <c r="B18" t="s">
        <v>89</v>
      </c>
      <c r="C18" t="s">
        <v>108</v>
      </c>
    </row>
    <row r="19" spans="1:3" x14ac:dyDescent="0.3">
      <c r="A19" t="s">
        <v>58</v>
      </c>
      <c r="B19" t="s">
        <v>90</v>
      </c>
      <c r="C19" t="s">
        <v>109</v>
      </c>
    </row>
    <row r="20" spans="1:3" x14ac:dyDescent="0.3">
      <c r="A20" t="s">
        <v>59</v>
      </c>
      <c r="B20" t="s">
        <v>70</v>
      </c>
      <c r="C20" t="s">
        <v>100</v>
      </c>
    </row>
    <row r="21" spans="1:3" x14ac:dyDescent="0.3">
      <c r="A21" t="s">
        <v>59</v>
      </c>
      <c r="B21" t="s">
        <v>63</v>
      </c>
      <c r="C21" t="s">
        <v>101</v>
      </c>
    </row>
    <row r="22" spans="1:3" x14ac:dyDescent="0.3">
      <c r="A22" t="s">
        <v>59</v>
      </c>
      <c r="B22" t="s">
        <v>66</v>
      </c>
      <c r="C22" t="s">
        <v>101</v>
      </c>
    </row>
    <row r="23" spans="1:3" x14ac:dyDescent="0.3">
      <c r="A23" t="s">
        <v>59</v>
      </c>
      <c r="B23" t="s">
        <v>68</v>
      </c>
      <c r="C23" t="s">
        <v>101</v>
      </c>
    </row>
    <row r="24" spans="1:3" x14ac:dyDescent="0.3">
      <c r="A24" t="s">
        <v>59</v>
      </c>
      <c r="B24" t="s">
        <v>78</v>
      </c>
      <c r="C24" t="s">
        <v>102</v>
      </c>
    </row>
    <row r="25" spans="1:3" x14ac:dyDescent="0.3">
      <c r="A25" t="s">
        <v>59</v>
      </c>
      <c r="B25" t="s">
        <v>71</v>
      </c>
      <c r="C25" t="s">
        <v>102</v>
      </c>
    </row>
    <row r="26" spans="1:3" x14ac:dyDescent="0.3">
      <c r="A26" t="s">
        <v>59</v>
      </c>
      <c r="B26" t="s">
        <v>60</v>
      </c>
      <c r="C26" t="s">
        <v>102</v>
      </c>
    </row>
    <row r="27" spans="1:3" x14ac:dyDescent="0.3">
      <c r="A27" t="s">
        <v>59</v>
      </c>
      <c r="B27" t="s">
        <v>75</v>
      </c>
      <c r="C27" t="s">
        <v>103</v>
      </c>
    </row>
    <row r="28" spans="1:3" x14ac:dyDescent="0.3">
      <c r="A28" t="s">
        <v>59</v>
      </c>
      <c r="B28" t="s">
        <v>73</v>
      </c>
      <c r="C28" t="s">
        <v>103</v>
      </c>
    </row>
    <row r="29" spans="1:3" x14ac:dyDescent="0.3">
      <c r="A29" t="s">
        <v>59</v>
      </c>
      <c r="B29" t="s">
        <v>74</v>
      </c>
      <c r="C29" t="s">
        <v>103</v>
      </c>
    </row>
    <row r="30" spans="1:3" x14ac:dyDescent="0.3">
      <c r="A30" t="s">
        <v>59</v>
      </c>
      <c r="B30" t="s">
        <v>91</v>
      </c>
      <c r="C30" t="s">
        <v>110</v>
      </c>
    </row>
    <row r="31" spans="1:3" x14ac:dyDescent="0.3">
      <c r="A31" t="s">
        <v>59</v>
      </c>
      <c r="B31" t="s">
        <v>87</v>
      </c>
      <c r="C31" t="s">
        <v>110</v>
      </c>
    </row>
    <row r="32" spans="1:3" x14ac:dyDescent="0.3">
      <c r="A32" t="s">
        <v>59</v>
      </c>
      <c r="B32" t="s">
        <v>92</v>
      </c>
      <c r="C32" t="s">
        <v>110</v>
      </c>
    </row>
    <row r="33" spans="1:3" x14ac:dyDescent="0.3">
      <c r="A33" t="s">
        <v>59</v>
      </c>
      <c r="B33" t="s">
        <v>93</v>
      </c>
      <c r="C33" t="s">
        <v>111</v>
      </c>
    </row>
    <row r="34" spans="1:3" x14ac:dyDescent="0.3">
      <c r="A34" t="s">
        <v>59</v>
      </c>
      <c r="B34" t="s">
        <v>88</v>
      </c>
      <c r="C34" t="s">
        <v>111</v>
      </c>
    </row>
    <row r="35" spans="1:3" x14ac:dyDescent="0.3">
      <c r="A35" t="s">
        <v>59</v>
      </c>
      <c r="B35" t="s">
        <v>94</v>
      </c>
      <c r="C35" t="s">
        <v>111</v>
      </c>
    </row>
    <row r="36" spans="1:3" x14ac:dyDescent="0.3">
      <c r="A36" t="s">
        <v>59</v>
      </c>
      <c r="B36" t="s">
        <v>95</v>
      </c>
      <c r="C36" t="s">
        <v>112</v>
      </c>
    </row>
    <row r="37" spans="1:3" x14ac:dyDescent="0.3">
      <c r="A37" t="s">
        <v>59</v>
      </c>
      <c r="B37" t="s">
        <v>96</v>
      </c>
      <c r="C37" t="s">
        <v>112</v>
      </c>
    </row>
    <row r="38" spans="1:3" x14ac:dyDescent="0.3">
      <c r="A38" t="s">
        <v>59</v>
      </c>
      <c r="B38" t="s">
        <v>97</v>
      </c>
      <c r="C38" t="s">
        <v>112</v>
      </c>
    </row>
    <row r="39" spans="1:3" x14ac:dyDescent="0.3">
      <c r="A39" t="s">
        <v>59</v>
      </c>
      <c r="B39" t="s">
        <v>98</v>
      </c>
      <c r="C39" t="s">
        <v>113</v>
      </c>
    </row>
    <row r="40" spans="1:3" x14ac:dyDescent="0.3">
      <c r="A40" t="s">
        <v>59</v>
      </c>
      <c r="B40" t="s">
        <v>89</v>
      </c>
      <c r="C40" t="s">
        <v>114</v>
      </c>
    </row>
    <row r="41" spans="1:3" x14ac:dyDescent="0.3">
      <c r="A41" t="s">
        <v>59</v>
      </c>
      <c r="B41" t="s">
        <v>99</v>
      </c>
      <c r="C41" t="s">
        <v>115</v>
      </c>
    </row>
    <row r="42" spans="1:3" x14ac:dyDescent="0.3">
      <c r="A42" t="s">
        <v>59</v>
      </c>
      <c r="B42" t="s">
        <v>90</v>
      </c>
      <c r="C42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Ratings</vt:lpstr>
      <vt:lpstr>Calificaciones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ALEKSANDER DOBRUSIN LARIOS</dc:creator>
  <cp:lastModifiedBy>Victor Hugo Tavera Covarrubias</cp:lastModifiedBy>
  <dcterms:created xsi:type="dcterms:W3CDTF">2026-02-11T17:18:44Z</dcterms:created>
  <dcterms:modified xsi:type="dcterms:W3CDTF">2026-07-09T15:22:49Z</dcterms:modified>
</cp:coreProperties>
</file>